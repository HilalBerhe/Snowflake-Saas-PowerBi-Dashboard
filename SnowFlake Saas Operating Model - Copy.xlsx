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al\Downloads\"/>
    </mc:Choice>
  </mc:AlternateContent>
  <xr:revisionPtr revIDLastSave="0" documentId="13_ncr:1_{DE90BD25-7B78-4230-8772-92244186AAD7}" xr6:coauthVersionLast="47" xr6:coauthVersionMax="47" xr10:uidLastSave="{00000000-0000-0000-0000-000000000000}"/>
  <bookViews>
    <workbookView xWindow="11424" yWindow="0" windowWidth="11712" windowHeight="13776" firstSheet="8" activeTab="9" xr2:uid="{85F3C073-D3D8-42BD-9305-54A2418C47A0}"/>
  </bookViews>
  <sheets>
    <sheet name="Cover Page" sheetId="1" r:id="rId1"/>
    <sheet name="Historical Financials" sheetId="2" r:id="rId2"/>
    <sheet name="Saas Metrics" sheetId="3" r:id="rId3"/>
    <sheet name="Revenue Build" sheetId="4" r:id="rId4"/>
    <sheet name="Operating Model" sheetId="5" r:id="rId5"/>
    <sheet name="Scenario Analysis" sheetId="8" r:id="rId6"/>
    <sheet name="KPI Summary" sheetId="9" r:id="rId7"/>
    <sheet name="Dashboard" sheetId="10" r:id="rId8"/>
    <sheet name="Power Bi Dashboards1" sheetId="11" r:id="rId9"/>
    <sheet name="PowerBi" sheetId="14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1" l="1"/>
  <c r="C3" i="11"/>
  <c r="D3" i="11"/>
  <c r="E3" i="11"/>
  <c r="F3" i="11"/>
  <c r="B4" i="11"/>
  <c r="C4" i="11"/>
  <c r="D4" i="11"/>
  <c r="E4" i="11"/>
  <c r="F4" i="11"/>
  <c r="B5" i="11"/>
  <c r="C5" i="11"/>
  <c r="D5" i="11"/>
  <c r="E5" i="11"/>
  <c r="F5" i="11"/>
  <c r="C6" i="11"/>
  <c r="D6" i="11"/>
  <c r="E6" i="11"/>
  <c r="F6" i="11"/>
  <c r="B7" i="11"/>
  <c r="C7" i="11"/>
  <c r="D7" i="11"/>
  <c r="E7" i="11"/>
  <c r="F7" i="11"/>
  <c r="B8" i="11"/>
  <c r="C8" i="11"/>
  <c r="D8" i="11"/>
  <c r="E8" i="11"/>
  <c r="F8" i="11"/>
  <c r="B9" i="11"/>
  <c r="C9" i="11"/>
  <c r="D9" i="11"/>
  <c r="E9" i="11"/>
  <c r="F9" i="11"/>
  <c r="B10" i="11"/>
  <c r="C10" i="11"/>
  <c r="D10" i="11"/>
  <c r="E10" i="11"/>
  <c r="F10" i="11"/>
  <c r="B11" i="11"/>
  <c r="C11" i="11"/>
  <c r="D11" i="11"/>
  <c r="E11" i="11"/>
  <c r="F11" i="11"/>
  <c r="B12" i="11"/>
  <c r="C12" i="11"/>
  <c r="D12" i="11"/>
  <c r="E12" i="11"/>
  <c r="F12" i="11"/>
  <c r="B19" i="11"/>
  <c r="C19" i="11"/>
  <c r="D19" i="11"/>
  <c r="C20" i="11"/>
  <c r="D20" i="11"/>
  <c r="B21" i="11"/>
  <c r="C21" i="11"/>
  <c r="D21" i="11"/>
  <c r="B22" i="11"/>
  <c r="C22" i="11"/>
  <c r="D22" i="11"/>
  <c r="B23" i="11"/>
  <c r="C23" i="11"/>
  <c r="D23" i="11"/>
  <c r="B24" i="11"/>
  <c r="C24" i="11"/>
  <c r="D24" i="11"/>
  <c r="C25" i="11"/>
  <c r="D25" i="11"/>
  <c r="B26" i="11"/>
  <c r="C26" i="11"/>
  <c r="D26" i="11"/>
  <c r="B27" i="11"/>
  <c r="C27" i="11"/>
  <c r="D27" i="11"/>
  <c r="B28" i="11"/>
  <c r="C28" i="11"/>
  <c r="D28" i="11"/>
  <c r="C48" i="11"/>
  <c r="D48" i="11"/>
  <c r="B48" i="11"/>
  <c r="C47" i="11"/>
  <c r="D47" i="11"/>
  <c r="B47" i="11"/>
  <c r="C46" i="11"/>
  <c r="D46" i="11"/>
  <c r="B46" i="11"/>
  <c r="C45" i="11"/>
  <c r="D45" i="11"/>
  <c r="B45" i="11"/>
  <c r="C44" i="11"/>
  <c r="D44" i="11"/>
  <c r="B44" i="11"/>
  <c r="C43" i="11"/>
  <c r="D43" i="11"/>
  <c r="B43" i="11"/>
  <c r="C42" i="11"/>
  <c r="D42" i="11"/>
  <c r="B42" i="11"/>
  <c r="C41" i="11"/>
  <c r="D41" i="11"/>
  <c r="B41" i="11"/>
  <c r="C40" i="11"/>
  <c r="D40" i="11"/>
  <c r="B40" i="11"/>
  <c r="C39" i="11"/>
  <c r="D39" i="11"/>
  <c r="B39" i="11"/>
  <c r="C38" i="11"/>
  <c r="D38" i="11"/>
  <c r="B38" i="11"/>
  <c r="C37" i="11"/>
  <c r="D37" i="11"/>
  <c r="B37" i="11"/>
  <c r="C36" i="11"/>
  <c r="D36" i="11"/>
  <c r="B36" i="11"/>
  <c r="C44" i="10"/>
  <c r="D44" i="10"/>
  <c r="C43" i="10"/>
  <c r="D43" i="10"/>
  <c r="C42" i="10"/>
  <c r="B14" i="8"/>
  <c r="B30" i="10"/>
  <c r="B42" i="10"/>
  <c r="D42" i="10"/>
  <c r="B43" i="10"/>
  <c r="B44" i="10"/>
  <c r="C30" i="10"/>
  <c r="B31" i="10"/>
  <c r="C31" i="10"/>
  <c r="B4" i="10"/>
  <c r="C4" i="9"/>
  <c r="D4" i="9"/>
  <c r="C5" i="9"/>
  <c r="D5" i="9"/>
  <c r="C6" i="9"/>
  <c r="C6" i="10" s="1"/>
  <c r="D6" i="9"/>
  <c r="C7" i="9"/>
  <c r="D7" i="9"/>
  <c r="C8" i="9"/>
  <c r="D8" i="9"/>
  <c r="C9" i="9"/>
  <c r="C18" i="10" s="1"/>
  <c r="D9" i="9"/>
  <c r="B17" i="10"/>
  <c r="C17" i="10"/>
  <c r="B18" i="10"/>
  <c r="B19" i="10"/>
  <c r="C19" i="10"/>
  <c r="C4" i="10"/>
  <c r="B5" i="10"/>
  <c r="C5" i="10"/>
  <c r="B6" i="10"/>
  <c r="B4" i="9"/>
  <c r="C22" i="9"/>
  <c r="D22" i="9"/>
  <c r="B22" i="9"/>
  <c r="C21" i="9"/>
  <c r="D21" i="9"/>
  <c r="B21" i="9"/>
  <c r="C20" i="9"/>
  <c r="D20" i="9"/>
  <c r="B20" i="9"/>
  <c r="C19" i="9"/>
  <c r="D19" i="9"/>
  <c r="B19" i="9"/>
  <c r="C18" i="9"/>
  <c r="D18" i="9"/>
  <c r="B18" i="9"/>
  <c r="C11" i="9"/>
  <c r="D11" i="9" s="1"/>
  <c r="B11" i="9"/>
  <c r="C10" i="9"/>
  <c r="D10" i="9" s="1"/>
  <c r="B10" i="9"/>
  <c r="B9" i="9"/>
  <c r="B8" i="9"/>
  <c r="B7" i="9"/>
  <c r="B6" i="9"/>
  <c r="B5" i="9"/>
  <c r="C22" i="8"/>
  <c r="D22" i="8"/>
  <c r="B22" i="8"/>
  <c r="C21" i="8"/>
  <c r="D21" i="8"/>
  <c r="B21" i="8"/>
  <c r="C20" i="8"/>
  <c r="D20" i="8"/>
  <c r="B20" i="8"/>
  <c r="C19" i="8"/>
  <c r="D19" i="8"/>
  <c r="B19" i="8"/>
  <c r="C18" i="8"/>
  <c r="D18" i="8"/>
  <c r="B18" i="8"/>
  <c r="C17" i="8"/>
  <c r="D17" i="8"/>
  <c r="B17" i="8"/>
  <c r="C16" i="8"/>
  <c r="D16" i="8"/>
  <c r="B16" i="8"/>
  <c r="C15" i="8"/>
  <c r="D15" i="8"/>
  <c r="B15" i="8"/>
  <c r="C14" i="8"/>
  <c r="D14" i="8"/>
  <c r="C13" i="8"/>
  <c r="D13" i="8"/>
  <c r="B13" i="8"/>
  <c r="D12" i="8"/>
  <c r="C12" i="8"/>
  <c r="B12" i="8"/>
  <c r="C12" i="5"/>
  <c r="D10" i="5"/>
  <c r="E10" i="5"/>
  <c r="F10" i="5"/>
  <c r="C10" i="5"/>
  <c r="C8" i="5"/>
  <c r="D8" i="5"/>
  <c r="E8" i="5"/>
  <c r="F8" i="5"/>
  <c r="B8" i="5"/>
  <c r="D6" i="5"/>
  <c r="C6" i="5"/>
  <c r="B6" i="5"/>
  <c r="E6" i="5"/>
  <c r="F6" i="5"/>
  <c r="C4" i="5"/>
  <c r="D4" i="5"/>
  <c r="E4" i="5"/>
  <c r="F4" i="5"/>
  <c r="B4" i="5"/>
  <c r="D6" i="4"/>
  <c r="E6" i="4"/>
  <c r="F6" i="4"/>
  <c r="C6" i="4"/>
  <c r="B6" i="4"/>
  <c r="B8" i="4" s="1"/>
  <c r="B4" i="4"/>
  <c r="C4" i="4" s="1"/>
  <c r="B5" i="4"/>
  <c r="B20" i="5"/>
  <c r="B16" i="5"/>
  <c r="B26" i="5"/>
  <c r="B23" i="5"/>
  <c r="B21" i="5"/>
  <c r="B18" i="5"/>
  <c r="B13" i="5"/>
  <c r="B14" i="3"/>
  <c r="C14" i="3"/>
  <c r="D14" i="3"/>
  <c r="B13" i="3"/>
  <c r="C12" i="3"/>
  <c r="D12" i="3"/>
  <c r="B12" i="3"/>
  <c r="C4" i="3"/>
  <c r="D4" i="3"/>
  <c r="B4" i="3"/>
  <c r="C13" i="3"/>
  <c r="D13" i="3"/>
  <c r="D11" i="3"/>
  <c r="C11" i="3"/>
  <c r="C8" i="3"/>
  <c r="C5" i="3"/>
  <c r="D8" i="3"/>
  <c r="D5" i="3"/>
  <c r="D4" i="4" l="1"/>
  <c r="C8" i="4"/>
  <c r="C9" i="4" s="1"/>
  <c r="B12" i="5"/>
  <c r="E4" i="4" l="1"/>
  <c r="D8" i="4"/>
  <c r="D9" i="4" s="1"/>
  <c r="F4" i="4" l="1"/>
  <c r="E8" i="4"/>
  <c r="E9" i="4" s="1"/>
  <c r="F8" i="4" l="1"/>
  <c r="F9" i="4" s="1"/>
  <c r="B25" i="5" l="1"/>
  <c r="B22" i="5"/>
  <c r="B17" i="5"/>
  <c r="B19" i="5"/>
  <c r="B15" i="5"/>
  <c r="B14" i="5"/>
  <c r="B24" i="5"/>
  <c r="B11" i="5"/>
  <c r="C18" i="5"/>
  <c r="C26" i="5" l="1"/>
  <c r="C20" i="5"/>
  <c r="C16" i="5"/>
  <c r="C13" i="5"/>
  <c r="D12" i="5" l="1"/>
  <c r="D13" i="5" s="1"/>
  <c r="C21" i="5"/>
  <c r="C22" i="5" s="1"/>
  <c r="C14" i="5"/>
  <c r="C23" i="5"/>
  <c r="C24" i="5" s="1"/>
  <c r="D18" i="5" l="1"/>
  <c r="D16" i="5"/>
  <c r="D20" i="5"/>
  <c r="D26" i="5"/>
  <c r="E12" i="5"/>
  <c r="E13" i="5" s="1"/>
  <c r="D14" i="5"/>
  <c r="D21" i="5" l="1"/>
  <c r="F12" i="5"/>
  <c r="F13" i="5" s="1"/>
  <c r="E26" i="5"/>
  <c r="E16" i="5"/>
  <c r="E20" i="5"/>
  <c r="E18" i="5"/>
  <c r="E14" i="5"/>
  <c r="E21" i="5" l="1"/>
  <c r="F26" i="5"/>
  <c r="F20" i="5"/>
  <c r="F16" i="5"/>
  <c r="F18" i="5"/>
  <c r="F14" i="5"/>
  <c r="D22" i="5"/>
  <c r="D23" i="5"/>
  <c r="D24" i="5" s="1"/>
  <c r="E22" i="5" l="1"/>
  <c r="E23" i="5"/>
  <c r="E24" i="5" s="1"/>
  <c r="F21" i="5"/>
  <c r="F22" i="5" l="1"/>
  <c r="F23" i="5"/>
  <c r="F24" i="5" s="1"/>
</calcChain>
</file>

<file path=xl/sharedStrings.xml><?xml version="1.0" encoding="utf-8"?>
<sst xmlns="http://schemas.openxmlformats.org/spreadsheetml/2006/main" count="283" uniqueCount="95">
  <si>
    <t>Snowflake SaaS Operating Model &amp; Revenue Retention Forecast</t>
  </si>
  <si>
    <t>Company: Snowflake Inc.</t>
  </si>
  <si>
    <t>Ticker: SNOW</t>
  </si>
  <si>
    <t>Sector: Cloud Software / Data Infrastructure</t>
  </si>
  <si>
    <t>Model Type: SaaS Operating Model</t>
  </si>
  <si>
    <t>Forecast Period: FY2027E–FY2030E</t>
  </si>
  <si>
    <t>Snowflake Historical Financials</t>
  </si>
  <si>
    <t>Figures in $ millions unless otherwise stated</t>
  </si>
  <si>
    <t>Metric</t>
  </si>
  <si>
    <t>FY2024A</t>
  </si>
  <si>
    <t>FY2025A</t>
  </si>
  <si>
    <t>FY2026A</t>
  </si>
  <si>
    <t>Revenue</t>
  </si>
  <si>
    <t>Product Revenue</t>
  </si>
  <si>
    <t>Professional Services &amp; Other Revenue</t>
  </si>
  <si>
    <t>Cost of Revenue</t>
  </si>
  <si>
    <t>Gross Profit</t>
  </si>
  <si>
    <t>Sales &amp; Marketing</t>
  </si>
  <si>
    <t>Research &amp; Development</t>
  </si>
  <si>
    <t>General &amp; Administrative</t>
  </si>
  <si>
    <t>Total Operating Expenses</t>
  </si>
  <si>
    <t>Operating Income / Loss</t>
  </si>
  <si>
    <t>Net Income / Loss</t>
  </si>
  <si>
    <t>Cash Flow from Operations</t>
  </si>
  <si>
    <t>Free Cash Flow</t>
  </si>
  <si>
    <t>Snowflake SaaS Metrics</t>
  </si>
  <si>
    <t>Product Revenue Growth</t>
  </si>
  <si>
    <t>Net Revenue Retention</t>
  </si>
  <si>
    <t>Customers &gt; $1M Product Revenue</t>
  </si>
  <si>
    <t>Customer Growth &gt; $1M</t>
  </si>
  <si>
    <t>Forbes Global 2000 Customers</t>
  </si>
  <si>
    <t>Remaining Performance Obligations</t>
  </si>
  <si>
    <t>RPO Growth</t>
  </si>
  <si>
    <t>RPO / Revenue</t>
  </si>
  <si>
    <t>Free Cash Flow Margin</t>
  </si>
  <si>
    <t>-</t>
  </si>
  <si>
    <t>Snowflake Revenue Build</t>
  </si>
  <si>
    <t>FY2027E</t>
  </si>
  <si>
    <t>FY2028E</t>
  </si>
  <si>
    <t>FY2029E</t>
  </si>
  <si>
    <t>FY2030E</t>
  </si>
  <si>
    <t>Total Revenue</t>
  </si>
  <si>
    <t>Total Revenue Growth</t>
  </si>
  <si>
    <t>Snowflake Operating Model</t>
  </si>
  <si>
    <t>Product Gross Margin</t>
  </si>
  <si>
    <t>Product Gross Profit</t>
  </si>
  <si>
    <t>Services Gross Margin</t>
  </si>
  <si>
    <t>Services Gross Profit</t>
  </si>
  <si>
    <t>Total Gross Profit</t>
  </si>
  <si>
    <t>Gross Margin %</t>
  </si>
  <si>
    <t>Sales &amp; Marketing % of Revenue</t>
  </si>
  <si>
    <t>Research &amp; Development % of Revenue</t>
  </si>
  <si>
    <t>General &amp; Administrative % of Revenue</t>
  </si>
  <si>
    <t>Total OpEx % of Revenue</t>
  </si>
  <si>
    <t>Operating Margin %</t>
  </si>
  <si>
    <t>Professional Services &amp; Other Revenue Growth</t>
  </si>
  <si>
    <t>Downside</t>
  </si>
  <si>
    <t>Base</t>
  </si>
  <si>
    <t>Upside</t>
  </si>
  <si>
    <t>Professional Services Revenue Growth</t>
  </si>
  <si>
    <t>R&amp;D % of Revenue</t>
  </si>
  <si>
    <t>G&amp;A % of Revenue</t>
  </si>
  <si>
    <t>Snowflake FY2027E Scenario Analysis</t>
  </si>
  <si>
    <t>Professional Services Revenue</t>
  </si>
  <si>
    <t>Operating Income</t>
  </si>
  <si>
    <t>Change</t>
  </si>
  <si>
    <t>Gross Margin</t>
  </si>
  <si>
    <t>Operating Margin</t>
  </si>
  <si>
    <t>KPI Summary</t>
  </si>
  <si>
    <t>FY2027E Scenario Comparison</t>
  </si>
  <si>
    <t>Table 1 — Financial Performance</t>
  </si>
  <si>
    <t>Table 2 — Margins</t>
  </si>
  <si>
    <t>Table 3 — Profitability</t>
  </si>
  <si>
    <t>Table 4 — Scenario Comparison</t>
  </si>
  <si>
    <t>Table 1: Forecast</t>
  </si>
  <si>
    <t>Services Revenue</t>
  </si>
  <si>
    <t>FCF Margin</t>
  </si>
  <si>
    <t>Product Growth</t>
  </si>
  <si>
    <t>NRR</t>
  </si>
  <si>
    <t>Customers Over $1M</t>
  </si>
  <si>
    <t>RPO</t>
  </si>
  <si>
    <t>RPO to Revenue</t>
  </si>
  <si>
    <t>SaaS Metrics</t>
  </si>
  <si>
    <t>Services Growth</t>
  </si>
  <si>
    <t>Product GM</t>
  </si>
  <si>
    <t>Services GM</t>
  </si>
  <si>
    <t>S&amp;M Percent</t>
  </si>
  <si>
    <t>R&amp;D Percent</t>
  </si>
  <si>
    <t>G&amp;A Percent</t>
  </si>
  <si>
    <t>Table 3: Scenario Analysis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</si>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</sst>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"/>
    <numFmt numFmtId="167" formatCode="0.00\x"/>
  </numFmts>
  <fonts count="35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24"/>
      <color theme="4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26"/>
      <color theme="4"/>
      <name val="Open sans"/>
    </font>
    <font>
      <sz val="11"/>
      <name val="Calibri"/>
      <family val="2"/>
      <scheme val="minor"/>
    </font>
    <font>
      <b/>
      <sz val="20"/>
      <color theme="0"/>
      <name val="Open sans"/>
    </font>
    <font>
      <sz val="14"/>
      <color theme="1"/>
      <name val="Calibri"/>
      <family val="2"/>
      <scheme val="minor"/>
    </font>
    <font>
      <sz val="11"/>
      <color theme="1"/>
      <name val="Open sans"/>
    </font>
    <font>
      <sz val="14"/>
      <color theme="1"/>
      <name val="Open sans"/>
    </font>
    <font>
      <sz val="11"/>
      <color theme="5" tint="-0.249977111117893"/>
      <name val="Open sans"/>
    </font>
    <font>
      <sz val="11"/>
      <color theme="4"/>
      <name val="Open sans"/>
    </font>
    <font>
      <b/>
      <sz val="20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5" tint="-0.249977111117893"/>
      <name val="Open Sans"/>
      <family val="2"/>
    </font>
    <font>
      <sz val="14"/>
      <color theme="4"/>
      <name val="Open Sans"/>
      <family val="2"/>
    </font>
    <font>
      <sz val="14"/>
      <color theme="1"/>
      <name val="Open Sans"/>
      <family val="2"/>
    </font>
    <font>
      <sz val="11"/>
      <color theme="1"/>
      <name val="Open Sans"/>
      <family val="2"/>
    </font>
    <font>
      <b/>
      <sz val="26"/>
      <color theme="0"/>
      <name val="Open Sans"/>
      <family val="2"/>
    </font>
    <font>
      <b/>
      <sz val="22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4"/>
      <color theme="5" tint="-0.249977111117893"/>
      <name val="Open Sans"/>
      <family val="2"/>
    </font>
    <font>
      <b/>
      <sz val="11"/>
      <color theme="5" tint="-0.249977111117893"/>
      <name val="Open sans"/>
      <family val="2"/>
    </font>
    <font>
      <b/>
      <sz val="12"/>
      <color theme="5" tint="-0.249977111117893"/>
      <name val="Calibri"/>
      <family val="2"/>
      <scheme val="minor"/>
    </font>
    <font>
      <sz val="16"/>
      <color theme="0"/>
      <name val="Arial Black"/>
      <family val="2"/>
    </font>
    <font>
      <b/>
      <sz val="18"/>
      <color theme="0"/>
      <name val="Arial Black"/>
      <family val="2"/>
    </font>
    <font>
      <b/>
      <sz val="13.5"/>
      <color theme="0"/>
      <name val="Calibri"/>
      <family val="2"/>
      <scheme val="minor"/>
    </font>
    <font>
      <sz val="10"/>
      <color theme="1"/>
      <name val="Arial Unicode MS"/>
    </font>
    <font>
      <b/>
      <sz val="13.5"/>
      <color theme="5" tint="-0.249977111117893"/>
      <name val="Calibri"/>
      <family val="2"/>
      <scheme val="minor"/>
    </font>
    <font>
      <sz val="10"/>
      <color theme="5" tint="-0.249977111117893"/>
      <name val="Arial Unicode MS"/>
    </font>
    <font>
      <b/>
      <sz val="18"/>
      <color theme="5" tint="-0.249977111117893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0" fillId="5" borderId="0" xfId="0" applyFill="1"/>
    <xf numFmtId="0" fontId="10" fillId="5" borderId="0" xfId="0" applyFont="1" applyFill="1"/>
    <xf numFmtId="0" fontId="11" fillId="0" borderId="0" xfId="0" applyFont="1"/>
    <xf numFmtId="0" fontId="16" fillId="3" borderId="0" xfId="0" applyFont="1" applyFill="1"/>
    <xf numFmtId="165" fontId="0" fillId="3" borderId="0" xfId="0" applyNumberFormat="1" applyFill="1"/>
    <xf numFmtId="165" fontId="3" fillId="3" borderId="0" xfId="0" applyNumberFormat="1" applyFont="1" applyFill="1"/>
    <xf numFmtId="166" fontId="0" fillId="3" borderId="0" xfId="0" applyNumberFormat="1" applyFill="1"/>
    <xf numFmtId="167" fontId="3" fillId="3" borderId="0" xfId="0" applyNumberFormat="1" applyFont="1" applyFill="1"/>
    <xf numFmtId="0" fontId="16" fillId="3" borderId="0" xfId="0" applyFont="1" applyFill="1" applyAlignment="1">
      <alignment wrapText="1"/>
    </xf>
    <xf numFmtId="165" fontId="0" fillId="3" borderId="0" xfId="0" applyNumberFormat="1" applyFill="1" applyAlignment="1">
      <alignment wrapText="1"/>
    </xf>
    <xf numFmtId="0" fontId="13" fillId="3" borderId="0" xfId="0" applyFont="1" applyFill="1" applyAlignment="1">
      <alignment wrapText="1"/>
    </xf>
    <xf numFmtId="164" fontId="14" fillId="3" borderId="0" xfId="0" applyNumberFormat="1" applyFont="1" applyFill="1" applyAlignment="1">
      <alignment wrapText="1"/>
    </xf>
    <xf numFmtId="0" fontId="12" fillId="5" borderId="0" xfId="0" applyFont="1" applyFill="1"/>
    <xf numFmtId="0" fontId="11" fillId="5" borderId="0" xfId="0" applyFont="1" applyFill="1"/>
    <xf numFmtId="0" fontId="3" fillId="3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165" fontId="19" fillId="3" borderId="0" xfId="0" applyNumberFormat="1" applyFont="1" applyFill="1" applyAlignment="1">
      <alignment wrapText="1"/>
    </xf>
    <xf numFmtId="166" fontId="19" fillId="3" borderId="0" xfId="0" applyNumberFormat="1" applyFont="1" applyFill="1" applyAlignment="1">
      <alignment wrapText="1"/>
    </xf>
    <xf numFmtId="0" fontId="19" fillId="5" borderId="0" xfId="0" applyFont="1" applyFill="1"/>
    <xf numFmtId="0" fontId="20" fillId="5" borderId="0" xfId="0" applyFont="1" applyFill="1"/>
    <xf numFmtId="10" fontId="18" fillId="3" borderId="0" xfId="0" applyNumberFormat="1" applyFont="1" applyFill="1" applyAlignment="1">
      <alignment wrapText="1"/>
    </xf>
    <xf numFmtId="0" fontId="8" fillId="5" borderId="0" xfId="0" applyFont="1" applyFill="1" applyAlignment="1">
      <alignment wrapText="1"/>
    </xf>
    <xf numFmtId="0" fontId="23" fillId="3" borderId="0" xfId="0" applyFont="1" applyFill="1" applyAlignment="1">
      <alignment wrapText="1"/>
    </xf>
    <xf numFmtId="0" fontId="24" fillId="3" borderId="0" xfId="0" applyFont="1" applyFill="1" applyAlignment="1">
      <alignment wrapText="1"/>
    </xf>
    <xf numFmtId="0" fontId="23" fillId="3" borderId="0" xfId="0" applyFont="1" applyFill="1"/>
    <xf numFmtId="0" fontId="25" fillId="3" borderId="0" xfId="0" applyFont="1" applyFill="1" applyAlignment="1">
      <alignment wrapText="1"/>
    </xf>
    <xf numFmtId="0" fontId="26" fillId="3" borderId="0" xfId="0" applyFont="1" applyFill="1" applyAlignment="1">
      <alignment wrapText="1"/>
    </xf>
    <xf numFmtId="10" fontId="0" fillId="3" borderId="0" xfId="0" applyNumberFormat="1" applyFill="1" applyAlignment="1">
      <alignment wrapText="1"/>
    </xf>
    <xf numFmtId="9" fontId="0" fillId="3" borderId="0" xfId="0" applyNumberFormat="1" applyFill="1" applyAlignment="1">
      <alignment wrapText="1"/>
    </xf>
    <xf numFmtId="165" fontId="3" fillId="3" borderId="0" xfId="0" applyNumberFormat="1" applyFont="1" applyFill="1" applyAlignment="1">
      <alignment wrapText="1"/>
    </xf>
    <xf numFmtId="10" fontId="3" fillId="3" borderId="0" xfId="0" applyNumberFormat="1" applyFont="1" applyFill="1" applyAlignment="1">
      <alignment wrapText="1"/>
    </xf>
    <xf numFmtId="164" fontId="0" fillId="3" borderId="0" xfId="0" applyNumberFormat="1" applyFill="1" applyAlignment="1">
      <alignment wrapText="1"/>
    </xf>
    <xf numFmtId="166" fontId="0" fillId="3" borderId="0" xfId="0" applyNumberFormat="1" applyFill="1" applyAlignment="1">
      <alignment wrapText="1"/>
    </xf>
    <xf numFmtId="164" fontId="3" fillId="3" borderId="0" xfId="0" applyNumberFormat="1" applyFont="1" applyFill="1" applyAlignment="1">
      <alignment wrapText="1"/>
    </xf>
    <xf numFmtId="3" fontId="3" fillId="3" borderId="0" xfId="0" applyNumberFormat="1" applyFont="1" applyFill="1" applyAlignment="1">
      <alignment wrapText="1"/>
    </xf>
    <xf numFmtId="0" fontId="23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10" fontId="3" fillId="3" borderId="0" xfId="0" applyNumberFormat="1" applyFont="1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1" fontId="0" fillId="3" borderId="0" xfId="0" applyNumberForma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3" fontId="30" fillId="3" borderId="0" xfId="0" applyNumberFormat="1" applyFont="1" applyFill="1" applyAlignment="1">
      <alignment vertical="center" wrapText="1"/>
    </xf>
    <xf numFmtId="165" fontId="30" fillId="3" borderId="0" xfId="0" applyNumberFormat="1" applyFont="1" applyFill="1" applyAlignment="1">
      <alignment vertical="center" wrapText="1"/>
    </xf>
    <xf numFmtId="164" fontId="30" fillId="3" borderId="0" xfId="0" applyNumberFormat="1" applyFont="1" applyFill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/>
    </xf>
    <xf numFmtId="0" fontId="31" fillId="3" borderId="0" xfId="0" applyFont="1" applyFill="1" applyAlignment="1">
      <alignment vertical="center"/>
    </xf>
    <xf numFmtId="0" fontId="32" fillId="3" borderId="0" xfId="0" applyFont="1" applyFill="1" applyAlignment="1">
      <alignment vertical="center"/>
    </xf>
    <xf numFmtId="165" fontId="16" fillId="3" borderId="0" xfId="0" applyNumberFormat="1" applyFont="1" applyFill="1"/>
    <xf numFmtId="3" fontId="0" fillId="3" borderId="0" xfId="0" applyNumberFormat="1" applyFill="1"/>
    <xf numFmtId="164" fontId="16" fillId="3" borderId="0" xfId="0" applyNumberFormat="1" applyFont="1" applyFill="1" applyAlignment="1">
      <alignment vertical="center" wrapText="1"/>
    </xf>
    <xf numFmtId="165" fontId="16" fillId="3" borderId="0" xfId="0" applyNumberFormat="1" applyFont="1" applyFill="1" applyAlignment="1">
      <alignment vertical="center" wrapText="1"/>
    </xf>
    <xf numFmtId="164" fontId="16" fillId="3" borderId="0" xfId="0" applyNumberFormat="1" applyFont="1" applyFill="1"/>
    <xf numFmtId="164" fontId="0" fillId="3" borderId="0" xfId="0" applyNumberFormat="1" applyFill="1"/>
    <xf numFmtId="2" fontId="0" fillId="3" borderId="0" xfId="0" applyNumberFormat="1" applyFill="1"/>
    <xf numFmtId="0" fontId="33" fillId="6" borderId="0" xfId="0" applyFont="1" applyFill="1" applyAlignment="1">
      <alignment horizontal="center"/>
    </xf>
    <xf numFmtId="0" fontId="34" fillId="6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15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27" fillId="4" borderId="0" xfId="0" applyFont="1" applyFill="1" applyAlignment="1">
      <alignment horizontal="center"/>
    </xf>
    <xf numFmtId="0" fontId="28" fillId="4" borderId="0" xfId="0" applyFont="1" applyFill="1" applyAlignment="1">
      <alignment horizontal="center"/>
    </xf>
    <xf numFmtId="0" fontId="29" fillId="4" borderId="0" xfId="0" applyFont="1" applyFill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2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  <fill>
        <patternFill patternType="solid">
          <fgColor indexed="64"/>
          <bgColor theme="0" tint="-4.9989318521683403E-2"/>
        </patternFill>
      </fill>
    </dxf>
    <dxf>
      <numFmt numFmtId="3" formatCode="#,##0"/>
      <fill>
        <patternFill patternType="solid">
          <fgColor indexed="64"/>
          <bgColor theme="0" tint="-4.9989318521683403E-2"/>
        </patternFill>
      </fill>
    </dxf>
    <dxf>
      <numFmt numFmtId="3" formatCode="#,##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5" tint="-0.249977111117893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5" tint="-0.249977111117893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165" formatCode="0.0%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165" formatCode="0.0%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165" formatCode="0.0%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165" formatCode="0.0%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165" formatCode="0.0%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249977111117893"/>
        <name val="Arial Unicode MS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5" tint="-0.249977111117893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0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Perfomance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FY2026A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Dashboard!$A$4:$A$6</c:f>
              <c:strCache>
                <c:ptCount val="3"/>
                <c:pt idx="0">
                  <c:v>Product Revenue</c:v>
                </c:pt>
                <c:pt idx="1">
                  <c:v>Total Revenue</c:v>
                </c:pt>
                <c:pt idx="2">
                  <c:v>Gross Profit</c:v>
                </c:pt>
              </c:strCache>
            </c:strRef>
          </c:cat>
          <c:val>
            <c:numRef>
              <c:f>Dashboard!$B$4:$B$6</c:f>
              <c:numCache>
                <c:formatCode>#,##0.0</c:formatCode>
                <c:ptCount val="3"/>
                <c:pt idx="0">
                  <c:v>4472.3</c:v>
                </c:pt>
                <c:pt idx="1">
                  <c:v>4683.9000000000005</c:v>
                </c:pt>
                <c:pt idx="2">
                  <c:v>3146.1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8-4766-8D4A-860B71160A7B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FY2027E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Dashboard!$A$4:$A$6</c:f>
              <c:strCache>
                <c:ptCount val="3"/>
                <c:pt idx="0">
                  <c:v>Product Revenue</c:v>
                </c:pt>
                <c:pt idx="1">
                  <c:v>Total Revenue</c:v>
                </c:pt>
                <c:pt idx="2">
                  <c:v>Gross Profit</c:v>
                </c:pt>
              </c:strCache>
            </c:strRef>
          </c:cat>
          <c:val>
            <c:numRef>
              <c:f>Dashboard!$C$4:$C$6</c:f>
              <c:numCache>
                <c:formatCode>#,##0.0</c:formatCode>
                <c:ptCount val="3"/>
                <c:pt idx="0">
                  <c:v>5590.375</c:v>
                </c:pt>
                <c:pt idx="1">
                  <c:v>5823.1350000000002</c:v>
                </c:pt>
                <c:pt idx="2">
                  <c:v>4169.5052500000002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8-4766-8D4A-860B71160A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1074464"/>
        <c:axId val="1601094624"/>
      </c:barChart>
      <c:catAx>
        <c:axId val="160107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094624"/>
        <c:crosses val="autoZero"/>
        <c:auto val="1"/>
        <c:lblAlgn val="ctr"/>
        <c:lblOffset val="100"/>
        <c:noMultiLvlLbl val="0"/>
      </c:catAx>
      <c:valAx>
        <c:axId val="1601094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Millions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07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96387739668133"/>
          <c:y val="0.20639955481357822"/>
          <c:w val="0.85596267627563505"/>
          <c:h val="0.605091162436081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FY2026A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Dashboard!$A$17:$A$19</c:f>
              <c:strCache>
                <c:ptCount val="3"/>
                <c:pt idx="0">
                  <c:v>Gross Margin</c:v>
                </c:pt>
                <c:pt idx="1">
                  <c:v>Operating Margin</c:v>
                </c:pt>
                <c:pt idx="2">
                  <c:v>Free Cash Flow Margin</c:v>
                </c:pt>
              </c:strCache>
            </c:strRef>
          </c:cat>
          <c:val>
            <c:numRef>
              <c:f>Dashboard!$B$17:$B$19</c:f>
              <c:numCache>
                <c:formatCode>0.0%</c:formatCode>
                <c:ptCount val="3"/>
                <c:pt idx="0">
                  <c:v>0.67168385319925694</c:v>
                </c:pt>
                <c:pt idx="1">
                  <c:v>-0.30641132389675269</c:v>
                </c:pt>
                <c:pt idx="2">
                  <c:v>0.23918102436004182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3-49B2-B3C8-08556FCEC3C1}"/>
            </c:ext>
          </c:extLst>
        </c:ser>
        <c:ser>
          <c:idx val="1"/>
          <c:order val="1"/>
          <c:tx>
            <c:strRef>
              <c:f>Dashboard!$C$16</c:f>
              <c:strCache>
                <c:ptCount val="1"/>
                <c:pt idx="0">
                  <c:v>FY2027E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Dashboard!$A$17:$A$19</c:f>
              <c:strCache>
                <c:ptCount val="3"/>
                <c:pt idx="0">
                  <c:v>Gross Margin</c:v>
                </c:pt>
                <c:pt idx="1">
                  <c:v>Operating Margin</c:v>
                </c:pt>
                <c:pt idx="2">
                  <c:v>Free Cash Flow Margin</c:v>
                </c:pt>
              </c:strCache>
            </c:strRef>
          </c:cat>
          <c:val>
            <c:numRef>
              <c:f>Dashboard!$C$17:$C$19</c:f>
              <c:numCache>
                <c:formatCode>0.0%</c:formatCode>
                <c:ptCount val="3"/>
                <c:pt idx="0">
                  <c:v>0.71602414335233511</c:v>
                </c:pt>
                <c:pt idx="1">
                  <c:v>0.13802414335233512</c:v>
                </c:pt>
                <c:pt idx="2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3-49B2-B3C8-08556FCEC3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9922304"/>
        <c:axId val="2079919424"/>
      </c:barChart>
      <c:catAx>
        <c:axId val="207992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19424"/>
        <c:crosses val="autoZero"/>
        <c:auto val="1"/>
        <c:lblAlgn val="ctr"/>
        <c:lblOffset val="100"/>
        <c:noMultiLvlLbl val="0"/>
      </c:catAx>
      <c:valAx>
        <c:axId val="207991942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2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Dashboard!$A$30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Dashboard!$B$29:$C$29</c:f>
              <c:strCache>
                <c:ptCount val="2"/>
                <c:pt idx="0">
                  <c:v>FY2026A</c:v>
                </c:pt>
                <c:pt idx="1">
                  <c:v>FY2027E</c:v>
                </c:pt>
              </c:strCache>
            </c:strRef>
          </c:cat>
          <c:val>
            <c:numRef>
              <c:f>Dashboard!$B$30:$C$30</c:f>
              <c:numCache>
                <c:formatCode>#,##0.0</c:formatCode>
                <c:ptCount val="2"/>
                <c:pt idx="0">
                  <c:v>-1435.2</c:v>
                </c:pt>
                <c:pt idx="1">
                  <c:v>803.73322000000007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0-48DA-B522-4A5446490566}"/>
            </c:ext>
          </c:extLst>
        </c:ser>
        <c:ser>
          <c:idx val="1"/>
          <c:order val="1"/>
          <c:tx>
            <c:strRef>
              <c:f>Dashboard!$A$31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Dashboard!$B$29:$C$29</c:f>
              <c:strCache>
                <c:ptCount val="2"/>
                <c:pt idx="0">
                  <c:v>FY2026A</c:v>
                </c:pt>
                <c:pt idx="1">
                  <c:v>FY2027E</c:v>
                </c:pt>
              </c:strCache>
            </c:strRef>
          </c:cat>
          <c:val>
            <c:numRef>
              <c:f>Dashboard!$B$31:$C$31</c:f>
              <c:numCache>
                <c:formatCode>#,##0.0</c:formatCode>
                <c:ptCount val="2"/>
                <c:pt idx="0">
                  <c:v>1120.3</c:v>
                </c:pt>
                <c:pt idx="1">
                  <c:v>1339.32105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0-48DA-B522-4A54464905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6486672"/>
        <c:axId val="246488112"/>
      </c:barChart>
      <c:catAx>
        <c:axId val="24648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88112"/>
        <c:crosses val="autoZero"/>
        <c:auto val="1"/>
        <c:lblAlgn val="ctr"/>
        <c:lblOffset val="100"/>
        <c:noMultiLvlLbl val="0"/>
      </c:catAx>
      <c:valAx>
        <c:axId val="246488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Millioms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8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Dashboard!$A$42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Dashboard!$B$41:$D$41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Dashboard!$B$42:$D$42</c:f>
              <c:numCache>
                <c:formatCode>#,##0</c:formatCode>
                <c:ptCount val="3"/>
                <c:pt idx="0">
                  <c:v>5499.4940000000006</c:v>
                </c:pt>
                <c:pt idx="1">
                  <c:v>7244.0047500000001</c:v>
                </c:pt>
                <c:pt idx="2">
                  <c:v>9147.8812460000008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E-4CD9-AF6C-089CF2A1A405}"/>
            </c:ext>
          </c:extLst>
        </c:ser>
        <c:ser>
          <c:idx val="1"/>
          <c:order val="1"/>
          <c:tx>
            <c:strRef>
              <c:f>Dashboard!$A$43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Dashboard!$B$41:$D$41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Dashboard!$B$43:$D$43</c:f>
              <c:numCache>
                <c:formatCode>#,##0</c:formatCode>
                <c:ptCount val="3"/>
                <c:pt idx="0">
                  <c:v>393.03747000000021</c:v>
                </c:pt>
                <c:pt idx="1">
                  <c:v>1028.3382169999995</c:v>
                </c:pt>
                <c:pt idx="2">
                  <c:v>1738.7418061299995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E-4CD9-AF6C-089CF2A1A405}"/>
            </c:ext>
          </c:extLst>
        </c:ser>
        <c:ser>
          <c:idx val="2"/>
          <c:order val="2"/>
          <c:tx>
            <c:strRef>
              <c:f>Dashboard!$A$44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Dashboard!$B$41:$D$41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Dashboard!$B$44:$D$44</c:f>
              <c:numCache>
                <c:formatCode>#,##0</c:formatCode>
                <c:ptCount val="3"/>
                <c:pt idx="0">
                  <c:v>1099.8988000000002</c:v>
                </c:pt>
                <c:pt idx="1">
                  <c:v>1666.1210925</c:v>
                </c:pt>
                <c:pt idx="2">
                  <c:v>2286.9703115000002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E-4CD9-AF6C-089CF2A1A4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2248240"/>
        <c:axId val="2072247760"/>
      </c:barChart>
      <c:catAx>
        <c:axId val="207224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47760"/>
        <c:crosses val="autoZero"/>
        <c:auto val="1"/>
        <c:lblAlgn val="ctr"/>
        <c:lblOffset val="100"/>
        <c:noMultiLvlLbl val="0"/>
      </c:catAx>
      <c:valAx>
        <c:axId val="2072247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Millions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482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190500</xdr:rowOff>
    </xdr:from>
    <xdr:to>
      <xdr:col>4</xdr:col>
      <xdr:colOff>0</xdr:colOff>
      <xdr:row>32</xdr:row>
      <xdr:rowOff>190500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3F5D9C06-0A2C-8751-6737-EBBFFFD7AB25}"/>
            </a:ext>
          </a:extLst>
        </xdr:cNvPr>
        <xdr:cNvSpPr txBox="1">
          <a:spLocks noChangeArrowheads="1"/>
        </xdr:cNvSpPr>
      </xdr:nvSpPr>
      <xdr:spPr bwMode="auto">
        <a:xfrm>
          <a:off x="0" y="3992880"/>
          <a:ext cx="8442960" cy="2773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Key Takeaway 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Revenue grew from $2.8B to $4.7B. Snowflake is still growing fast and demand for its cloud data platform is strong.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Product revenue is over 95% of total revenue The main business is the software/cloud platform, not consulting or services.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Gross margin is around 67%. Snowflake keeps a lot of revenue after direct service costs, which is normal for strong software companies.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Sales &amp; Marketing is very high. Snowflake spends heavily to win customers and expand usage.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R&amp;D is very high. The company is still investing aggressively in product development, AI, data cloud, and platform improvements.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Operating income is negative. Snowflake is not GAAP profitable from operations yet because expenses are still larger than gross profit.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Net income is negative. The company is still reporting accounting losses, partly because of heavy operating expenses and stock-based compensation.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Free cash flow is positive. Snowflake is losing money on a GAAP basis, but the business still generates real cash.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FCF margin stayed around 24%. Snowflake has strong cash generation even while investing heavily for growth.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Overall conclusion: Snowflake is a high-growth SaaS/data company with strong revenue growth and cash flow, but still working toward stronger profitability.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18</xdr:row>
      <xdr:rowOff>0</xdr:rowOff>
    </xdr:from>
    <xdr:to>
      <xdr:col>3</xdr:col>
      <xdr:colOff>7620</xdr:colOff>
      <xdr:row>25</xdr:row>
      <xdr:rowOff>167640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4B3F39BF-DE05-0F78-1B96-DB94628DBB15}"/>
            </a:ext>
          </a:extLst>
        </xdr:cNvPr>
        <xdr:cNvSpPr txBox="1">
          <a:spLocks noChangeArrowheads="1"/>
        </xdr:cNvSpPr>
      </xdr:nvSpPr>
      <xdr:spPr bwMode="auto">
        <a:xfrm>
          <a:off x="7620" y="3482340"/>
          <a:ext cx="6332220" cy="1447800"/>
        </a:xfrm>
        <a:prstGeom prst="rect">
          <a:avLst/>
        </a:prstGeom>
        <a:solidFill>
          <a:schemeClr val="bg1">
            <a:lumMod val="9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Snowflake’s SaaS metrics show a strong and growing cloud software business. Product revenue increased from $2.7 billion in FY2024 to $4.5 billion in FY2026, while growth remained near 30%. Net revenue retention stayed above 120%, showing that existing customers continued to spend more over time.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chemeClr val="accent1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The company also expanded its large customer base, with $1M+ product revenue customers increasing from 449 to 733. RPO grew from $5.2 billion to $9.8 billion, giving Snowflake stronger visibility into future revenue. Overall, Snowflake shows strong SaaS fundamentals through fast growth, customer expansion, growing contracted revenue, and positive free cash flow.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chemeClr val="accent1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13</xdr:row>
      <xdr:rowOff>0</xdr:rowOff>
    </xdr:from>
    <xdr:to>
      <xdr:col>6</xdr:col>
      <xdr:colOff>66675</xdr:colOff>
      <xdr:row>29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FFD83B-16EB-9C04-384A-75ECECC424CE}"/>
            </a:ext>
          </a:extLst>
        </xdr:cNvPr>
        <xdr:cNvSpPr/>
      </xdr:nvSpPr>
      <xdr:spPr>
        <a:xfrm>
          <a:off x="66675" y="5734050"/>
          <a:ext cx="8572500" cy="29146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>
              <a:solidFill>
                <a:schemeClr val="accent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Snowflake’s revenue build shows continued growth in the company’s core product revenue. Product revenue is forecasted to increase from $4.5 billion in FY2026A to $10.2 billion by FY2030E, driven by strong FY2027E guidance and gradually moderating growth assumptions in later years.</a:t>
          </a:r>
        </a:p>
        <a:p>
          <a:r>
            <a:rPr lang="en-US" sz="1600">
              <a:solidFill>
                <a:schemeClr val="accent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Professional services and other revenue remains a small part of the business, declining from 4.7% of product revenue in FY2026A to 4.0% by FY2030E. This reflects Snowflake’s business mix becoming increasingly driven by its core cloud platform.</a:t>
          </a:r>
        </a:p>
        <a:p>
          <a:r>
            <a:rPr lang="en-US" sz="1600">
              <a:solidFill>
                <a:schemeClr val="accent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Total revenue is projected to grow from $4.7 billion in FY2026A to $10.6 billion by FY2030E. Overall, the forecast shows Snowflake continuing to scale rapidly, while revenue growth gradually slows as the company becomes larger.</a:t>
          </a:r>
        </a:p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16933</xdr:colOff>
      <xdr:row>31</xdr:row>
      <xdr:rowOff>0</xdr:rowOff>
    </xdr:from>
    <xdr:to>
      <xdr:col>4</xdr:col>
      <xdr:colOff>1413933</xdr:colOff>
      <xdr:row>42</xdr:row>
      <xdr:rowOff>67734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43909C-372D-0F58-C912-7AF8DE5FF8B4}"/>
            </a:ext>
          </a:extLst>
        </xdr:cNvPr>
        <xdr:cNvSpPr/>
      </xdr:nvSpPr>
      <xdr:spPr>
        <a:xfrm>
          <a:off x="16933" y="8382000"/>
          <a:ext cx="7086600" cy="21166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accent1"/>
              </a:solidFill>
              <a:latin typeface="+mn-lt"/>
            </a:rPr>
            <a:t>Snowflake’s operating model shows strong revenue growth from </a:t>
          </a:r>
          <a:r>
            <a:rPr lang="en-US" sz="1600" b="1">
              <a:solidFill>
                <a:schemeClr val="accent1"/>
              </a:solidFill>
              <a:latin typeface="+mn-lt"/>
            </a:rPr>
            <a:t>$4.7B in FY2026A to $9.9B by FY2030E</a:t>
          </a:r>
          <a:r>
            <a:rPr lang="en-US" sz="1600">
              <a:solidFill>
                <a:schemeClr val="accent1"/>
              </a:solidFill>
              <a:latin typeface="+mn-lt"/>
            </a:rPr>
            <a:t>, driven mainly by product revenue expansion. Product revenue growth gradually slows from </a:t>
          </a:r>
          <a:r>
            <a:rPr lang="en-US" sz="1600" b="1">
              <a:solidFill>
                <a:schemeClr val="accent1"/>
              </a:solidFill>
              <a:latin typeface="+mn-lt"/>
            </a:rPr>
            <a:t>25.0% in FY2027E to 18.0% by FY2030E</a:t>
          </a:r>
          <a:r>
            <a:rPr lang="en-US" sz="1600">
              <a:solidFill>
                <a:schemeClr val="accent1"/>
              </a:solidFill>
              <a:latin typeface="+mn-lt"/>
            </a:rPr>
            <a:t>, while gross margin improves from </a:t>
          </a:r>
          <a:r>
            <a:rPr lang="en-US" sz="1600" b="1">
              <a:solidFill>
                <a:schemeClr val="accent1"/>
              </a:solidFill>
              <a:latin typeface="+mn-lt"/>
            </a:rPr>
            <a:t>67.2% to 75.8%</a:t>
          </a:r>
          <a:r>
            <a:rPr lang="en-US" sz="1600">
              <a:solidFill>
                <a:schemeClr val="accent1"/>
              </a:solidFill>
              <a:latin typeface="+mn-lt"/>
            </a:rPr>
            <a:t>. The model also shows major operating leverage, with Total OpEx falling from </a:t>
          </a:r>
          <a:r>
            <a:rPr lang="en-US" sz="1600" b="1">
              <a:solidFill>
                <a:schemeClr val="accent1"/>
              </a:solidFill>
              <a:latin typeface="+mn-lt"/>
            </a:rPr>
            <a:t>97.8% of revenue to 52.5%</a:t>
          </a:r>
          <a:r>
            <a:rPr lang="en-US" sz="1600">
              <a:solidFill>
                <a:schemeClr val="accent1"/>
              </a:solidFill>
              <a:latin typeface="+mn-lt"/>
            </a:rPr>
            <a:t>, helping Snowflake move from a </a:t>
          </a:r>
          <a:r>
            <a:rPr lang="en-US" sz="1600" b="1">
              <a:solidFill>
                <a:schemeClr val="accent1"/>
              </a:solidFill>
              <a:latin typeface="+mn-lt"/>
            </a:rPr>
            <a:t>-$1.4B operating loss in FY2026A</a:t>
          </a:r>
          <a:r>
            <a:rPr lang="en-US" sz="1600">
              <a:solidFill>
                <a:schemeClr val="accent1"/>
              </a:solidFill>
              <a:latin typeface="+mn-lt"/>
            </a:rPr>
            <a:t> to </a:t>
          </a:r>
          <a:r>
            <a:rPr lang="en-US" sz="1600" b="1">
              <a:solidFill>
                <a:schemeClr val="accent1"/>
              </a:solidFill>
              <a:latin typeface="+mn-lt"/>
            </a:rPr>
            <a:t>$2.3B operating income by FY2030E</a:t>
          </a:r>
          <a:r>
            <a:rPr lang="en-US" sz="1600">
              <a:solidFill>
                <a:schemeClr val="accent1"/>
              </a:solidFill>
              <a:latin typeface="+mn-lt"/>
            </a:rPr>
            <a:t>. Free cash flow also improves steadily, reaching </a:t>
          </a:r>
          <a:r>
            <a:rPr lang="en-US" sz="1600" b="1">
              <a:solidFill>
                <a:schemeClr val="accent1"/>
              </a:solidFill>
              <a:latin typeface="+mn-lt"/>
            </a:rPr>
            <a:t>$2.9B by FY2030E</a:t>
          </a:r>
          <a:r>
            <a:rPr lang="en-US" sz="1600">
              <a:solidFill>
                <a:schemeClr val="accent1"/>
              </a:solidFill>
              <a:latin typeface="+mn-lt"/>
            </a:rPr>
            <a:t>.</a:t>
          </a:r>
        </a:p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24</xdr:row>
      <xdr:rowOff>175260</xdr:rowOff>
    </xdr:from>
    <xdr:to>
      <xdr:col>4</xdr:col>
      <xdr:colOff>7620</xdr:colOff>
      <xdr:row>32</xdr:row>
      <xdr:rowOff>22860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8F2F811B-403F-C12A-0FB9-A70FA038598E}"/>
            </a:ext>
          </a:extLst>
        </xdr:cNvPr>
        <xdr:cNvSpPr txBox="1">
          <a:spLocks noChangeArrowheads="1"/>
        </xdr:cNvSpPr>
      </xdr:nvSpPr>
      <xdr:spPr bwMode="auto">
        <a:xfrm>
          <a:off x="7620" y="4899660"/>
          <a:ext cx="5699760" cy="1310640"/>
        </a:xfrm>
        <a:prstGeom prst="rect">
          <a:avLst/>
        </a:prstGeom>
        <a:solidFill>
          <a:schemeClr val="bg1">
            <a:lumMod val="9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Snowflake is projected to maintain strong revenue growth while significantly improving profitability. In the base case, total revenue increases from $4.68 billion in FY2026A to $5.82 billion in FY2027E, while gross margin expands from 67.2% to 71.6%. The model forecasts a shift from a $1.44 billion operating loss to approximately $804 million in operating income, supported by stronger product margins and improved expense efficiency. Free cash flow also rises to $1.34 billion. The scenario analysis shows that Snowflake remains profitable and generates positive free cash flow even in the downside case, demonstrating strong operating leverage.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chemeClr val="accent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1287780</xdr:colOff>
      <xdr:row>0</xdr:row>
      <xdr:rowOff>60960</xdr:rowOff>
    </xdr:from>
    <xdr:to>
      <xdr:col>11</xdr:col>
      <xdr:colOff>129540</xdr:colOff>
      <xdr:row>10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8971A-EAA6-4E52-0BBC-245DADB00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1242060</xdr:colOff>
      <xdr:row>11</xdr:row>
      <xdr:rowOff>87630</xdr:rowOff>
    </xdr:from>
    <xdr:to>
      <xdr:col>11</xdr:col>
      <xdr:colOff>45720</xdr:colOff>
      <xdr:row>23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D30093-5F16-AE6F-5A33-518F858F5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1181100</xdr:colOff>
      <xdr:row>24</xdr:row>
      <xdr:rowOff>57150</xdr:rowOff>
    </xdr:from>
    <xdr:to>
      <xdr:col>11</xdr:col>
      <xdr:colOff>160020</xdr:colOff>
      <xdr:row>34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38E8E5-EF1E-D7CC-3B3A-81FE7BECB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114300</xdr:colOff>
      <xdr:row>36</xdr:row>
      <xdr:rowOff>87630</xdr:rowOff>
    </xdr:from>
    <xdr:to>
      <xdr:col>12</xdr:col>
      <xdr:colOff>419100</xdr:colOff>
      <xdr:row>51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577518-D272-EC48-A89E-AB3D5CBCC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58</xdr:row>
      <xdr:rowOff>7620</xdr:rowOff>
    </xdr:from>
    <xdr:to>
      <xdr:col>3</xdr:col>
      <xdr:colOff>1417320</xdr:colOff>
      <xdr:row>72</xdr:row>
      <xdr:rowOff>30480</xdr:rowOff>
    </xdr:to>
    <xdr:sp macro="" textlink="">
      <xdr:nvSpPr>
        <xdr:cNvPr id="8199" name="Text Box 7">
          <a:extLst>
            <a:ext uri="{FF2B5EF4-FFF2-40B4-BE49-F238E27FC236}">
              <a16:creationId xmlns:a16="http://schemas.microsoft.com/office/drawing/2014/main" id="{B8F8BAC7-9FD1-1992-8592-0DB314DB0B96}"/>
            </a:ext>
          </a:extLst>
        </xdr:cNvPr>
        <xdr:cNvSpPr txBox="1">
          <a:spLocks noChangeArrowheads="1"/>
        </xdr:cNvSpPr>
      </xdr:nvSpPr>
      <xdr:spPr bwMode="auto">
        <a:xfrm>
          <a:off x="15240" y="10797540"/>
          <a:ext cx="5676900" cy="25831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Snowflake is projected to maintain strong growth in FY2027E, with product revenue increasing 25.0% to $5.6 billion and total revenue rising 24.3% to $5.8 billion. Gross profit is expected to grow from $3.1 billion to $4.2 billion, lifting gross margin from 67.2% to 71.6%.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chemeClr val="accent1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Profitability improves substantially, with operating income moving from a $1.4 billion loss to an $803.7 million profit. Free cash flow increases to $1.3 billion, although FCF margin declines slightly to 23.0%. Scenario results show revenue ranging from $5.5 billion to $9.1 billion, with all three cases producing positive operating income and free cash flow.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chemeClr val="accent1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1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Management Commentary: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chemeClr val="accent1"/>
              </a:solidFill>
              <a:latin typeface="Calibri"/>
              <a:ea typeface="Calibri"/>
              <a:cs typeface="Calibri"/>
            </a:rPr>
            <a:t>Management should prioritize sustaining product-revenue growth while maintaining spending discipline. The projected operating-profit turnaround demonstrates strong operating leverage, while the positive downside case provides financial resilience. The upside case shows significant earnings and cash-flow potential if growth and margin improvements exceed expectations.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5E8F9D-219F-4808-95BE-D359BF83EC61}" name="tblForecast" displayName="tblForecast" ref="A1:F12" totalsRowShown="0" headerRowDxfId="20" dataDxfId="19">
  <autoFilter ref="A1:F12" xr:uid="{215E8F9D-219F-4808-95BE-D359BF83EC61}"/>
  <tableColumns count="6">
    <tableColumn id="1" xr3:uid="{83E13A46-ABFB-4899-BBBC-BF0E01E27112}" name="Table 1: Forecast" dataDxfId="18"/>
    <tableColumn id="2" xr3:uid="{C6463AA0-5BC1-4528-AD49-81819CEB0EC7}" name="Column1" dataDxfId="17"/>
    <tableColumn id="3" xr3:uid="{B56C3C2C-7063-45DC-853C-5C44D1CAA50A}" name="Column2" dataDxfId="16"/>
    <tableColumn id="4" xr3:uid="{40AD4B0C-1EA9-48C7-8B0A-34870E4C333F}" name="Column3" dataDxfId="15"/>
    <tableColumn id="5" xr3:uid="{27CC8894-EFEE-4FF1-823B-388815EDE746}" name="Column4" dataDxfId="14"/>
    <tableColumn id="6" xr3:uid="{4F1986C2-C02A-4AFA-82DC-FEDCAD461623}" name="Column5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F055DD-9516-43B6-9B8F-59A5300FF458}" name="tblSaas" displayName="tblSaas" ref="A17:D28" totalsRowShown="0" headerRowDxfId="12">
  <autoFilter ref="A17:D28" xr:uid="{DCF055DD-9516-43B6-9B8F-59A5300FF458}"/>
  <tableColumns count="4">
    <tableColumn id="1" xr3:uid="{1F32C7A4-E0C6-4198-A70D-5A4C8FE35060}" name="SaaS Metrics" dataDxfId="11"/>
    <tableColumn id="2" xr3:uid="{390B779F-083B-4502-A1B2-D9763A5A938E}" name="Column1">
      <calculatedColumnFormula>'Saas Metrics'!B4</calculatedColumnFormula>
    </tableColumn>
    <tableColumn id="3" xr3:uid="{ECDFDCE5-9E7C-456C-B878-61C87411C417}" name="Column2">
      <calculatedColumnFormula>'Saas Metrics'!C4</calculatedColumnFormula>
    </tableColumn>
    <tableColumn id="4" xr3:uid="{0FD13D39-250C-4850-AC76-8BE31BBD03E7}" name="Column3">
      <calculatedColumnFormula>'Saas Metrics'!D4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54E856E-9836-4BE7-97A1-15AAB89C27E3}" name="tblScenarios" displayName="tblScenarios" ref="A34:D48" totalsRowShown="0" headerRowDxfId="10" dataDxfId="9">
  <autoFilter ref="A34:D48" xr:uid="{854E856E-9836-4BE7-97A1-15AAB89C27E3}"/>
  <tableColumns count="4">
    <tableColumn id="1" xr3:uid="{3D6A2DA0-9D58-46D5-95E3-EF0D59FF9780}" name="Table 3: Scenario Analysis" dataDxfId="8"/>
    <tableColumn id="2" xr3:uid="{3B5752EC-F04C-4680-AA16-3AB05DCB64DE}" name="Column1" dataDxfId="7"/>
    <tableColumn id="3" xr3:uid="{C6B4AA82-F7B9-4BBB-A7D8-62338C463FC1}" name="Column2" dataDxfId="6"/>
    <tableColumn id="4" xr3:uid="{A35028CD-3CA8-453B-A8CB-6D591CACCC81}" name="Column3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F58D8-DBA0-4DFA-A025-23E7E1FB42F3}" name="SaasMetrics" displayName="SaasMetrics" ref="A1:D11" totalsRowShown="0">
  <autoFilter ref="A1:D11" xr:uid="{045F58D8-DBA0-4DFA-A025-23E7E1FB42F3}"/>
  <tableColumns count="4">
    <tableColumn id="1" xr3:uid="{9A0F45AE-34E8-41F3-8595-314B71033FA2}" name="Metric"/>
    <tableColumn id="2" xr3:uid="{2B4B8BF6-5D96-4E25-B1B1-0B642AA869D0}" name="FY2024A"/>
    <tableColumn id="3" xr3:uid="{E7A66EEB-4659-42B1-AF17-3E7734FAF579}" name="FY2025A"/>
    <tableColumn id="4" xr3:uid="{F315CF70-86BC-4303-8553-5E510E1DAA63}" name="FY2026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BE0432-10B9-4561-A58F-7263F95AAE3A}" name="ScenarioAnalysis" displayName="ScenarioAnalysis" ref="A16:D29" totalsRowShown="0">
  <autoFilter ref="A16:D29" xr:uid="{0EBE0432-10B9-4561-A58F-7263F95AAE3A}"/>
  <tableColumns count="4">
    <tableColumn id="1" xr3:uid="{36F5FFF0-974B-4FAC-8CA3-0255BB9A7B88}" name="Metric"/>
    <tableColumn id="2" xr3:uid="{CB76B922-604B-432D-80CC-8416D0E8232B}" name="Downside"/>
    <tableColumn id="3" xr3:uid="{51D647E1-6831-40C1-B25E-211B86704BAA}" name="Base"/>
    <tableColumn id="4" xr3:uid="{301C08CD-7BB8-430C-AB76-2AE8CF8B5CD5}" name="Upsi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C021EC-657F-4472-8772-5D4E710B2483}" name="Forecast" displayName="Forecast" ref="A35:F45" totalsRowShown="0">
  <autoFilter ref="A35:F45" xr:uid="{99C021EC-657F-4472-8772-5D4E710B2483}"/>
  <tableColumns count="6">
    <tableColumn id="1" xr3:uid="{1EE59551-0858-4AA7-8D72-BC3C0FEC9933}" name="Metric"/>
    <tableColumn id="2" xr3:uid="{4149748C-D86C-46CF-BAC2-465DF01930F0}" name="FY2026A" dataDxfId="4"/>
    <tableColumn id="3" xr3:uid="{3ECA05AE-6C86-41A2-BB06-6B3A4C5ABB63}" name="FY2027E" dataDxfId="3"/>
    <tableColumn id="4" xr3:uid="{F2932443-E8D6-4101-AE3C-CBD7A57B3F91}" name="FY2028E" dataDxfId="2"/>
    <tableColumn id="5" xr3:uid="{9DCC4503-8043-4583-979F-A1EFCD2F3A88}" name="FY2029E" dataDxfId="1"/>
    <tableColumn id="6" xr3:uid="{C4F2D2C1-FD79-4399-B3E8-382F10686C1B}" name="FY2030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077F-8ADD-4EAC-8E0F-825E4E6C80EB}">
  <dimension ref="C9:W24"/>
  <sheetViews>
    <sheetView topLeftCell="D1" workbookViewId="0">
      <selection activeCell="D22" sqref="D22"/>
    </sheetView>
  </sheetViews>
  <sheetFormatPr defaultRowHeight="14.4"/>
  <cols>
    <col min="1" max="3" width="8.88671875" style="1"/>
    <col min="4" max="4" width="184.6640625" style="1" bestFit="1" customWidth="1"/>
    <col min="5" max="16384" width="8.88671875" style="1"/>
  </cols>
  <sheetData>
    <row r="9" spans="3:23">
      <c r="C9" s="2"/>
      <c r="D9" s="2"/>
    </row>
    <row r="10" spans="3:23">
      <c r="C10" s="2"/>
      <c r="D10" s="2"/>
    </row>
    <row r="11" spans="3:23">
      <c r="C11" s="2"/>
      <c r="D11" s="2"/>
    </row>
    <row r="12" spans="3:23">
      <c r="C12" s="6"/>
      <c r="D12" s="6"/>
    </row>
    <row r="13" spans="3:23" ht="37.799999999999997">
      <c r="C13" s="6"/>
      <c r="D13" s="10" t="s"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3:23" ht="31.2">
      <c r="C14" s="6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3:23" ht="31.2">
      <c r="C15" s="8"/>
      <c r="D15" s="9" t="s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3:23" ht="31.2">
      <c r="C16" s="8"/>
      <c r="D16" s="9" t="s">
        <v>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3:23" ht="31.2">
      <c r="C17" s="8"/>
      <c r="D17" s="9" t="s">
        <v>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3:23" ht="31.2">
      <c r="C18" s="8"/>
      <c r="D18" s="9" t="s">
        <v>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3:23" ht="31.2">
      <c r="C19" s="8"/>
      <c r="D19" s="9" t="s">
        <v>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3:23" ht="31.2">
      <c r="C20" s="2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3:23" ht="31.2">
      <c r="C21" s="2"/>
      <c r="D21" s="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3:23" ht="31.2">
      <c r="C22" s="2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3:23">
      <c r="C23" s="2"/>
      <c r="D23" s="2"/>
    </row>
    <row r="24" spans="3:23">
      <c r="C24" s="2"/>
      <c r="D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D228-A2A2-498A-8076-6A95036A631B}">
  <dimension ref="A1:D16"/>
  <sheetViews>
    <sheetView zoomScale="80" zoomScaleNormal="80" workbookViewId="0">
      <selection activeCell="H19" sqref="H19"/>
    </sheetView>
  </sheetViews>
  <sheetFormatPr defaultRowHeight="15.6"/>
  <cols>
    <col min="1" max="5" width="30.77734375" style="13" customWidth="1"/>
    <col min="6" max="16384" width="8.88671875" style="13"/>
  </cols>
  <sheetData>
    <row r="1" spans="1:4" ht="28.8">
      <c r="A1" s="72" t="s">
        <v>6</v>
      </c>
      <c r="B1" s="72"/>
      <c r="C1" s="72"/>
      <c r="D1" s="72"/>
    </row>
    <row r="2" spans="1:4" ht="21">
      <c r="A2" s="23" t="s">
        <v>7</v>
      </c>
      <c r="B2" s="24"/>
      <c r="C2" s="24"/>
      <c r="D2" s="24"/>
    </row>
    <row r="3" spans="1:4">
      <c r="A3" s="38" t="s">
        <v>8</v>
      </c>
      <c r="B3" s="38" t="s">
        <v>9</v>
      </c>
      <c r="C3" s="38" t="s">
        <v>10</v>
      </c>
      <c r="D3" s="38" t="s">
        <v>11</v>
      </c>
    </row>
    <row r="4" spans="1:4">
      <c r="A4" s="21" t="s">
        <v>12</v>
      </c>
      <c r="B4" s="22">
        <v>2806.5</v>
      </c>
      <c r="C4" s="22">
        <v>3626.4</v>
      </c>
      <c r="D4" s="22">
        <v>4683.8999999999996</v>
      </c>
    </row>
    <row r="5" spans="1:4">
      <c r="A5" s="21" t="s">
        <v>13</v>
      </c>
      <c r="B5" s="22">
        <v>2666.8</v>
      </c>
      <c r="C5" s="22">
        <v>3462.4</v>
      </c>
      <c r="D5" s="22">
        <v>4472.3</v>
      </c>
    </row>
    <row r="6" spans="1:4" ht="31.2">
      <c r="A6" s="21" t="s">
        <v>14</v>
      </c>
      <c r="B6" s="22">
        <v>139.6</v>
      </c>
      <c r="C6" s="22">
        <v>164</v>
      </c>
      <c r="D6" s="22">
        <v>211.6</v>
      </c>
    </row>
    <row r="7" spans="1:4">
      <c r="A7" s="21" t="s">
        <v>15</v>
      </c>
      <c r="B7" s="22">
        <v>898.6</v>
      </c>
      <c r="C7" s="22">
        <v>1214.7</v>
      </c>
      <c r="D7" s="22">
        <v>1537.8</v>
      </c>
    </row>
    <row r="8" spans="1:4">
      <c r="A8" s="21" t="s">
        <v>16</v>
      </c>
      <c r="B8" s="22">
        <v>1907.9</v>
      </c>
      <c r="C8" s="22">
        <v>2411.6999999999998</v>
      </c>
      <c r="D8" s="22">
        <v>3146.1</v>
      </c>
    </row>
    <row r="9" spans="1:4">
      <c r="A9" s="21" t="s">
        <v>17</v>
      </c>
      <c r="B9" s="22">
        <v>1391.7</v>
      </c>
      <c r="C9" s="22">
        <v>1672.1</v>
      </c>
      <c r="D9" s="22">
        <v>2062.1</v>
      </c>
    </row>
    <row r="10" spans="1:4">
      <c r="A10" s="21" t="s">
        <v>18</v>
      </c>
      <c r="B10" s="22">
        <v>1287.9000000000001</v>
      </c>
      <c r="C10" s="22">
        <v>1783.4</v>
      </c>
      <c r="D10" s="22">
        <v>1969.5</v>
      </c>
    </row>
    <row r="11" spans="1:4">
      <c r="A11" s="21" t="s">
        <v>19</v>
      </c>
      <c r="B11" s="22">
        <v>323</v>
      </c>
      <c r="C11" s="22">
        <v>412.3</v>
      </c>
      <c r="D11" s="22">
        <v>549.70000000000005</v>
      </c>
    </row>
    <row r="12" spans="1:4">
      <c r="A12" s="21" t="s">
        <v>20</v>
      </c>
      <c r="B12" s="22">
        <v>3002.7</v>
      </c>
      <c r="C12" s="22">
        <v>3867.7</v>
      </c>
      <c r="D12" s="22">
        <v>4581.3</v>
      </c>
    </row>
    <row r="13" spans="1:4">
      <c r="A13" s="21" t="s">
        <v>21</v>
      </c>
      <c r="B13" s="22">
        <v>-1094.8</v>
      </c>
      <c r="C13" s="22">
        <v>-1456</v>
      </c>
      <c r="D13" s="22">
        <v>-1435.2</v>
      </c>
    </row>
    <row r="14" spans="1:4">
      <c r="A14" s="21" t="s">
        <v>22</v>
      </c>
      <c r="B14" s="22">
        <v>-838</v>
      </c>
      <c r="C14" s="22">
        <v>-1289.2</v>
      </c>
      <c r="D14" s="22">
        <v>-1329</v>
      </c>
    </row>
    <row r="15" spans="1:4">
      <c r="A15" s="21" t="s">
        <v>23</v>
      </c>
      <c r="B15" s="22">
        <v>848.1</v>
      </c>
      <c r="C15" s="22">
        <v>959.8</v>
      </c>
      <c r="D15" s="22">
        <v>1221.9000000000001</v>
      </c>
    </row>
    <row r="16" spans="1:4">
      <c r="A16" s="21" t="s">
        <v>24</v>
      </c>
      <c r="B16" s="22">
        <v>778.9</v>
      </c>
      <c r="C16" s="22">
        <v>884.1</v>
      </c>
      <c r="D16" s="22">
        <v>1120.3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B5A5-9AB5-4907-95E4-625DCC4E194E}">
  <dimension ref="A1:D14"/>
  <sheetViews>
    <sheetView workbookViewId="0">
      <selection activeCell="B14" sqref="B14"/>
    </sheetView>
  </sheetViews>
  <sheetFormatPr defaultRowHeight="14.4"/>
  <cols>
    <col min="1" max="4" width="30.77734375" customWidth="1"/>
  </cols>
  <sheetData>
    <row r="1" spans="1:4" ht="25.8">
      <c r="A1" s="73" t="s">
        <v>25</v>
      </c>
      <c r="B1" s="73"/>
      <c r="C1" s="73"/>
      <c r="D1" s="73"/>
    </row>
    <row r="2" spans="1:4" ht="18">
      <c r="A2" s="12" t="s">
        <v>7</v>
      </c>
      <c r="B2" s="11"/>
      <c r="C2" s="11"/>
      <c r="D2" s="11"/>
    </row>
    <row r="3" spans="1:4">
      <c r="A3" s="37" t="s">
        <v>8</v>
      </c>
      <c r="B3" s="37" t="s">
        <v>9</v>
      </c>
      <c r="C3" s="37" t="s">
        <v>10</v>
      </c>
      <c r="D3" s="37" t="s">
        <v>11</v>
      </c>
    </row>
    <row r="4" spans="1:4">
      <c r="A4" s="14" t="s">
        <v>13</v>
      </c>
      <c r="B4" s="2">
        <f>'Historical Financials'!B5</f>
        <v>2666.8</v>
      </c>
      <c r="C4" s="2">
        <f>'Historical Financials'!C5</f>
        <v>3462.4</v>
      </c>
      <c r="D4" s="2">
        <f>'Historical Financials'!D5</f>
        <v>4472.3</v>
      </c>
    </row>
    <row r="5" spans="1:4">
      <c r="A5" s="14" t="s">
        <v>26</v>
      </c>
      <c r="B5" s="6" t="s">
        <v>35</v>
      </c>
      <c r="C5" s="16">
        <f>C4/B4-1</f>
        <v>0.29833508324583757</v>
      </c>
      <c r="D5" s="16">
        <f>D4/C4-1</f>
        <v>0.2916762939001849</v>
      </c>
    </row>
    <row r="6" spans="1:4">
      <c r="A6" s="14" t="s">
        <v>27</v>
      </c>
      <c r="B6" s="15">
        <v>1.33</v>
      </c>
      <c r="C6" s="15">
        <v>1.26</v>
      </c>
      <c r="D6" s="15">
        <v>1.25</v>
      </c>
    </row>
    <row r="7" spans="1:4">
      <c r="A7" s="14" t="s">
        <v>28</v>
      </c>
      <c r="B7" s="2">
        <v>449</v>
      </c>
      <c r="C7" s="2">
        <v>576</v>
      </c>
      <c r="D7" s="2">
        <v>733</v>
      </c>
    </row>
    <row r="8" spans="1:4">
      <c r="A8" s="14" t="s">
        <v>29</v>
      </c>
      <c r="B8" s="6" t="s">
        <v>35</v>
      </c>
      <c r="C8" s="16">
        <f>C7/B7-1</f>
        <v>0.28285077951002235</v>
      </c>
      <c r="D8" s="16">
        <f>D7/C7-1</f>
        <v>0.27256944444444442</v>
      </c>
    </row>
    <row r="9" spans="1:4">
      <c r="A9" s="14" t="s">
        <v>30</v>
      </c>
      <c r="B9" s="2">
        <v>716</v>
      </c>
      <c r="C9" s="2">
        <v>750</v>
      </c>
      <c r="D9" s="2">
        <v>790</v>
      </c>
    </row>
    <row r="10" spans="1:4">
      <c r="A10" s="14" t="s">
        <v>31</v>
      </c>
      <c r="B10" s="17">
        <v>5174.7</v>
      </c>
      <c r="C10" s="17">
        <v>6867.5</v>
      </c>
      <c r="D10" s="17">
        <v>9771.5</v>
      </c>
    </row>
    <row r="11" spans="1:4">
      <c r="A11" s="14" t="s">
        <v>32</v>
      </c>
      <c r="B11" s="6" t="s">
        <v>35</v>
      </c>
      <c r="C11" s="16">
        <f>C10/B10-1</f>
        <v>0.32713007517344006</v>
      </c>
      <c r="D11" s="16">
        <f>D10/C10-1</f>
        <v>0.42286130323989801</v>
      </c>
    </row>
    <row r="12" spans="1:4">
      <c r="A12" s="14" t="s">
        <v>33</v>
      </c>
      <c r="B12" s="18">
        <f>B10/'Historical Financials'!B4</f>
        <v>1.8438268305718866</v>
      </c>
      <c r="C12" s="18">
        <f>C10/'Historical Financials'!C4</f>
        <v>1.8937513787778513</v>
      </c>
      <c r="D12" s="18">
        <f>D10/'Historical Financials'!D4</f>
        <v>2.0861888597109246</v>
      </c>
    </row>
    <row r="13" spans="1:4">
      <c r="A13" s="14" t="s">
        <v>24</v>
      </c>
      <c r="B13" s="17">
        <f>'Historical Financials'!B16</f>
        <v>778.9</v>
      </c>
      <c r="C13" s="17">
        <f>'Historical Financials'!C16</f>
        <v>884.1</v>
      </c>
      <c r="D13" s="17">
        <f>'Historical Financials'!D16</f>
        <v>1120.3</v>
      </c>
    </row>
    <row r="14" spans="1:4">
      <c r="A14" s="14" t="s">
        <v>34</v>
      </c>
      <c r="B14" s="16">
        <f>B13/'Historical Financials'!B4</f>
        <v>0.27753429538571173</v>
      </c>
      <c r="C14" s="16">
        <f>C13/'Historical Financials'!C4</f>
        <v>0.24379549966909331</v>
      </c>
      <c r="D14" s="16">
        <f>D13/'Historical Financials'!D4</f>
        <v>0.23918102436004185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2213-9489-4DA2-8933-B1651A94E313}">
  <dimension ref="A1:F9"/>
  <sheetViews>
    <sheetView zoomScale="70" zoomScaleNormal="70" workbookViewId="0">
      <selection activeCell="I33" sqref="I33"/>
    </sheetView>
  </sheetViews>
  <sheetFormatPr defaultRowHeight="14.4"/>
  <cols>
    <col min="1" max="6" width="20.77734375" customWidth="1"/>
  </cols>
  <sheetData>
    <row r="1" spans="1:6" ht="37.799999999999997">
      <c r="A1" s="74" t="s">
        <v>36</v>
      </c>
      <c r="B1" s="74"/>
      <c r="C1" s="74"/>
      <c r="D1" s="74"/>
      <c r="E1" s="74"/>
      <c r="F1" s="74"/>
    </row>
    <row r="2" spans="1:6" ht="21">
      <c r="A2" s="31" t="s">
        <v>7</v>
      </c>
      <c r="B2" s="31"/>
      <c r="C2" s="31"/>
      <c r="D2" s="31"/>
      <c r="E2" s="31"/>
      <c r="F2" s="32"/>
    </row>
    <row r="3" spans="1:6" ht="21">
      <c r="A3" s="36" t="s">
        <v>8</v>
      </c>
      <c r="B3" s="36" t="s">
        <v>11</v>
      </c>
      <c r="C3" s="36" t="s">
        <v>37</v>
      </c>
      <c r="D3" s="36" t="s">
        <v>38</v>
      </c>
      <c r="E3" s="36" t="s">
        <v>39</v>
      </c>
      <c r="F3" s="36" t="s">
        <v>40</v>
      </c>
    </row>
    <row r="4" spans="1:6" ht="42">
      <c r="A4" s="26" t="s">
        <v>13</v>
      </c>
      <c r="B4" s="27">
        <f>'Saas Metrics'!D4</f>
        <v>4472.3</v>
      </c>
      <c r="C4" s="30">
        <f>B4*(1+C5)</f>
        <v>5590.375</v>
      </c>
      <c r="D4" s="30">
        <f>C4*(1+D5)</f>
        <v>6820.2574999999997</v>
      </c>
      <c r="E4" s="30">
        <f t="shared" ref="E4:F4" si="0">D4*(1+E5)</f>
        <v>8184.3089999999993</v>
      </c>
      <c r="F4" s="30">
        <f t="shared" si="0"/>
        <v>9657.4846199999993</v>
      </c>
    </row>
    <row r="5" spans="1:6" ht="63">
      <c r="A5" s="26" t="s">
        <v>26</v>
      </c>
      <c r="B5" s="28">
        <f>'Saas Metrics'!D5</f>
        <v>0.2916762939001849</v>
      </c>
      <c r="C5" s="33">
        <v>0.25</v>
      </c>
      <c r="D5" s="33">
        <v>0.22</v>
      </c>
      <c r="E5" s="33">
        <v>0.2</v>
      </c>
      <c r="F5" s="33">
        <v>0.18</v>
      </c>
    </row>
    <row r="6" spans="1:6" ht="63">
      <c r="A6" s="26" t="s">
        <v>14</v>
      </c>
      <c r="B6" s="27">
        <f>'Historical Financials'!D6</f>
        <v>211.6</v>
      </c>
      <c r="C6" s="30">
        <f>B6*(1+C7)</f>
        <v>232.76000000000002</v>
      </c>
      <c r="D6" s="30">
        <f>C6*(1+D7)</f>
        <v>251.38080000000005</v>
      </c>
      <c r="E6" s="30">
        <f t="shared" ref="E6:F6" si="1">D6*(1+E7)</f>
        <v>266.46364800000009</v>
      </c>
      <c r="F6" s="30">
        <f t="shared" si="1"/>
        <v>279.7868304000001</v>
      </c>
    </row>
    <row r="7" spans="1:6" ht="84">
      <c r="A7" s="26" t="s">
        <v>55</v>
      </c>
      <c r="B7" s="29">
        <v>0.28999999999999998</v>
      </c>
      <c r="C7" s="28">
        <v>0.1</v>
      </c>
      <c r="D7" s="28">
        <v>0.08</v>
      </c>
      <c r="E7" s="28">
        <v>0.06</v>
      </c>
      <c r="F7" s="28">
        <v>0.05</v>
      </c>
    </row>
    <row r="8" spans="1:6" ht="21">
      <c r="A8" s="26" t="s">
        <v>41</v>
      </c>
      <c r="B8" s="30">
        <f>B4+B6</f>
        <v>4683.9000000000005</v>
      </c>
      <c r="C8" s="30">
        <f>C4+C6</f>
        <v>5823.1350000000002</v>
      </c>
      <c r="D8" s="30">
        <f t="shared" ref="D8:F8" si="2">D4+D6</f>
        <v>7071.6382999999996</v>
      </c>
      <c r="E8" s="30">
        <f t="shared" si="2"/>
        <v>8450.7726480000001</v>
      </c>
      <c r="F8" s="30">
        <f t="shared" si="2"/>
        <v>9937.2714503999996</v>
      </c>
    </row>
    <row r="9" spans="1:6" ht="42">
      <c r="A9" s="26" t="s">
        <v>42</v>
      </c>
      <c r="B9" s="29" t="s">
        <v>35</v>
      </c>
      <c r="C9" s="29">
        <f>C8/B8-1</f>
        <v>0.24322359572151409</v>
      </c>
      <c r="D9" s="29">
        <f t="shared" ref="D9:F9" si="3">D8/C8-1</f>
        <v>0.21440397655214927</v>
      </c>
      <c r="E9" s="29">
        <f t="shared" si="3"/>
        <v>0.19502331560142161</v>
      </c>
      <c r="F9" s="29">
        <f t="shared" si="3"/>
        <v>0.17590093407042517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C7CB-6698-431F-BA79-A985A1B42DB9}">
  <dimension ref="A1:F31"/>
  <sheetViews>
    <sheetView topLeftCell="A9" zoomScaleNormal="100" workbookViewId="0">
      <selection activeCell="B28" sqref="B28"/>
    </sheetView>
  </sheetViews>
  <sheetFormatPr defaultRowHeight="14.4"/>
  <cols>
    <col min="1" max="6" width="20.77734375" customWidth="1"/>
  </cols>
  <sheetData>
    <row r="1" spans="1:6" ht="28.8" customHeight="1">
      <c r="A1" s="75" t="s">
        <v>43</v>
      </c>
      <c r="B1" s="75"/>
      <c r="C1" s="75"/>
      <c r="D1" s="75"/>
      <c r="E1" s="75"/>
      <c r="F1" s="75"/>
    </row>
    <row r="2" spans="1:6" ht="28.8">
      <c r="A2" s="34" t="s">
        <v>7</v>
      </c>
      <c r="B2" s="34"/>
      <c r="C2" s="34"/>
      <c r="D2" s="34"/>
      <c r="E2" s="34"/>
      <c r="F2" s="34"/>
    </row>
    <row r="3" spans="1:6">
      <c r="A3" s="35" t="s">
        <v>8</v>
      </c>
      <c r="B3" s="35" t="s">
        <v>11</v>
      </c>
      <c r="C3" s="35" t="s">
        <v>37</v>
      </c>
      <c r="D3" s="35" t="s">
        <v>38</v>
      </c>
      <c r="E3" s="35" t="s">
        <v>39</v>
      </c>
      <c r="F3" s="35" t="s">
        <v>40</v>
      </c>
    </row>
    <row r="4" spans="1:6">
      <c r="A4" s="19" t="s">
        <v>13</v>
      </c>
      <c r="B4" s="47">
        <f>'Revenue Build'!B4</f>
        <v>4472.3</v>
      </c>
      <c r="C4" s="47">
        <f>'Revenue Build'!C4</f>
        <v>5590.375</v>
      </c>
      <c r="D4" s="47">
        <f>'Revenue Build'!D4</f>
        <v>6820.2574999999997</v>
      </c>
      <c r="E4" s="47">
        <f>'Revenue Build'!E4</f>
        <v>8184.3089999999993</v>
      </c>
      <c r="F4" s="47">
        <f>'Revenue Build'!F4</f>
        <v>9657.4846199999993</v>
      </c>
    </row>
    <row r="5" spans="1:6" ht="28.8">
      <c r="A5" s="19" t="s">
        <v>26</v>
      </c>
      <c r="B5" s="25" t="s">
        <v>35</v>
      </c>
      <c r="C5" s="43">
        <v>0.25</v>
      </c>
      <c r="D5" s="43">
        <v>0.22</v>
      </c>
      <c r="E5" s="43">
        <v>0.2</v>
      </c>
      <c r="F5" s="43">
        <v>0.18</v>
      </c>
    </row>
    <row r="6" spans="1:6" ht="28.8">
      <c r="A6" s="19" t="s">
        <v>14</v>
      </c>
      <c r="B6" s="46">
        <f>'Revenue Build'!B6</f>
        <v>211.6</v>
      </c>
      <c r="C6" s="46">
        <f>'Revenue Build'!C6</f>
        <v>232.76000000000002</v>
      </c>
      <c r="D6" s="46">
        <f>'Revenue Build'!D6</f>
        <v>251.38080000000005</v>
      </c>
      <c r="E6" s="46">
        <f>'Revenue Build'!E6</f>
        <v>266.46364800000009</v>
      </c>
      <c r="F6" s="46">
        <f>'Revenue Build'!F6</f>
        <v>279.7868304000001</v>
      </c>
    </row>
    <row r="7" spans="1:6" ht="28.8">
      <c r="A7" s="19" t="s">
        <v>55</v>
      </c>
      <c r="B7" s="25" t="s">
        <v>35</v>
      </c>
      <c r="C7" s="43">
        <v>0.1</v>
      </c>
      <c r="D7" s="43">
        <v>0.08</v>
      </c>
      <c r="E7" s="43">
        <v>0.06</v>
      </c>
      <c r="F7" s="43">
        <v>0.05</v>
      </c>
    </row>
    <row r="8" spans="1:6" ht="15.6">
      <c r="A8" s="39" t="s">
        <v>41</v>
      </c>
      <c r="B8" s="44">
        <f>'Revenue Build'!B8</f>
        <v>4683.9000000000005</v>
      </c>
      <c r="C8" s="44">
        <f>'Revenue Build'!C8</f>
        <v>5823.1350000000002</v>
      </c>
      <c r="D8" s="44">
        <f>'Revenue Build'!D8</f>
        <v>7071.6382999999996</v>
      </c>
      <c r="E8" s="44">
        <f>'Revenue Build'!E8</f>
        <v>8450.7726480000001</v>
      </c>
      <c r="F8" s="44">
        <f>'Revenue Build'!F8</f>
        <v>9937.2714503999996</v>
      </c>
    </row>
    <row r="9" spans="1:6">
      <c r="A9" s="19" t="s">
        <v>44</v>
      </c>
      <c r="B9" s="40">
        <v>0.72</v>
      </c>
      <c r="C9" s="42">
        <v>0.75</v>
      </c>
      <c r="D9" s="42">
        <v>0.76</v>
      </c>
      <c r="E9" s="42">
        <v>0.77</v>
      </c>
      <c r="F9" s="42">
        <v>0.78</v>
      </c>
    </row>
    <row r="10" spans="1:6">
      <c r="A10" s="19" t="s">
        <v>45</v>
      </c>
      <c r="B10" s="25">
        <v>3220.1</v>
      </c>
      <c r="C10" s="45">
        <f>C4*C9</f>
        <v>4192.78125</v>
      </c>
      <c r="D10" s="45">
        <f t="shared" ref="D10:F10" si="0">D4*D9</f>
        <v>5183.3957</v>
      </c>
      <c r="E10" s="45">
        <f t="shared" si="0"/>
        <v>6301.9179299999996</v>
      </c>
      <c r="F10" s="45">
        <f t="shared" si="0"/>
        <v>7532.8380035999999</v>
      </c>
    </row>
    <row r="11" spans="1:6">
      <c r="A11" s="19" t="s">
        <v>46</v>
      </c>
      <c r="B11" s="20">
        <f>B12/B6</f>
        <v>-0.34971644612476371</v>
      </c>
      <c r="C11" s="42">
        <v>-0.1</v>
      </c>
      <c r="D11" s="42">
        <v>-0.05</v>
      </c>
      <c r="E11" s="42">
        <v>0</v>
      </c>
      <c r="F11" s="42">
        <v>0</v>
      </c>
    </row>
    <row r="12" spans="1:6">
      <c r="A12" s="19" t="s">
        <v>47</v>
      </c>
      <c r="B12" s="3">
        <f>B13-B10</f>
        <v>-74</v>
      </c>
      <c r="C12" s="45">
        <f>C6*C11</f>
        <v>-23.276000000000003</v>
      </c>
      <c r="D12" s="45">
        <f t="shared" ref="D12:F12" si="1">D6*D11</f>
        <v>-12.569040000000003</v>
      </c>
      <c r="E12" s="45">
        <f t="shared" si="1"/>
        <v>0</v>
      </c>
      <c r="F12" s="45">
        <f t="shared" si="1"/>
        <v>0</v>
      </c>
    </row>
    <row r="13" spans="1:6" ht="15.6">
      <c r="A13" s="39" t="s">
        <v>48</v>
      </c>
      <c r="B13" s="3">
        <f>'Historical Financials'!D8</f>
        <v>3146.1</v>
      </c>
      <c r="C13" s="45">
        <f>C10+C12</f>
        <v>4169.5052500000002</v>
      </c>
      <c r="D13" s="45">
        <f t="shared" ref="D13:F13" si="2">D10+D12</f>
        <v>5170.8266599999997</v>
      </c>
      <c r="E13" s="45">
        <f t="shared" si="2"/>
        <v>6301.9179299999996</v>
      </c>
      <c r="F13" s="45">
        <f t="shared" si="2"/>
        <v>7532.8380035999999</v>
      </c>
    </row>
    <row r="14" spans="1:6" ht="15.6">
      <c r="A14" s="39" t="s">
        <v>49</v>
      </c>
      <c r="B14" s="20">
        <f>B13/B8</f>
        <v>0.67168385319925694</v>
      </c>
      <c r="C14" s="20">
        <f>C13/C8</f>
        <v>0.71602414335233511</v>
      </c>
      <c r="D14" s="20">
        <f t="shared" ref="D14:F14" si="3">D13/D8</f>
        <v>0.73120632597965307</v>
      </c>
      <c r="E14" s="20">
        <f t="shared" si="3"/>
        <v>0.74572091718636413</v>
      </c>
      <c r="F14" s="20">
        <f t="shared" si="3"/>
        <v>0.75803886823447741</v>
      </c>
    </row>
    <row r="15" spans="1:6" ht="28.8">
      <c r="A15" s="19" t="s">
        <v>50</v>
      </c>
      <c r="B15" s="20">
        <f>B16/B8</f>
        <v>0.44025278080232277</v>
      </c>
      <c r="C15" s="42">
        <v>0.33</v>
      </c>
      <c r="D15" s="42">
        <v>0.32</v>
      </c>
      <c r="E15" s="42">
        <v>0.31</v>
      </c>
      <c r="F15" s="42">
        <v>0.3</v>
      </c>
    </row>
    <row r="16" spans="1:6">
      <c r="A16" s="19" t="s">
        <v>17</v>
      </c>
      <c r="B16" s="3">
        <f>'Historical Financials'!D9</f>
        <v>2062.1</v>
      </c>
      <c r="C16" s="44">
        <f>C8*C15</f>
        <v>1921.6345500000002</v>
      </c>
      <c r="D16" s="44">
        <f t="shared" ref="D16:F16" si="4">D8*D15</f>
        <v>2262.9242559999998</v>
      </c>
      <c r="E16" s="44">
        <f t="shared" si="4"/>
        <v>2619.7395208799999</v>
      </c>
      <c r="F16" s="44">
        <f t="shared" si="4"/>
        <v>2981.1814351199996</v>
      </c>
    </row>
    <row r="17" spans="1:6" ht="43.2">
      <c r="A17" s="19" t="s">
        <v>51</v>
      </c>
      <c r="B17" s="20">
        <f>B18/B8</f>
        <v>0.4204829308909242</v>
      </c>
      <c r="C17" s="42">
        <v>0.19</v>
      </c>
      <c r="D17" s="42">
        <v>0.185</v>
      </c>
      <c r="E17" s="42">
        <v>0.18</v>
      </c>
      <c r="F17" s="42">
        <v>0.17499999999999999</v>
      </c>
    </row>
    <row r="18" spans="1:6" ht="28.8">
      <c r="A18" s="19" t="s">
        <v>18</v>
      </c>
      <c r="B18" s="3">
        <f>'Historical Financials'!D10</f>
        <v>1969.5</v>
      </c>
      <c r="C18" s="44">
        <f>C8*C17</f>
        <v>1106.3956500000002</v>
      </c>
      <c r="D18" s="44">
        <f t="shared" ref="D18:F18" si="5">D8*D17</f>
        <v>1308.2530855</v>
      </c>
      <c r="E18" s="44">
        <f t="shared" si="5"/>
        <v>1521.13907664</v>
      </c>
      <c r="F18" s="44">
        <f t="shared" si="5"/>
        <v>1739.0225038199999</v>
      </c>
    </row>
    <row r="19" spans="1:6" ht="43.2">
      <c r="A19" s="19" t="s">
        <v>52</v>
      </c>
      <c r="B19" s="20">
        <f>B20/B8</f>
        <v>0.11735946540276265</v>
      </c>
      <c r="C19" s="42">
        <v>5.8000000000000003E-2</v>
      </c>
      <c r="D19" s="42">
        <v>5.5E-2</v>
      </c>
      <c r="E19" s="42">
        <v>5.2999999999999999E-2</v>
      </c>
      <c r="F19" s="42">
        <v>0.05</v>
      </c>
    </row>
    <row r="20" spans="1:6" ht="28.8">
      <c r="A20" s="19" t="s">
        <v>19</v>
      </c>
      <c r="B20" s="3">
        <f>'Historical Financials'!D11</f>
        <v>549.70000000000005</v>
      </c>
      <c r="C20" s="45">
        <f>C8*C19</f>
        <v>337.74183000000005</v>
      </c>
      <c r="D20" s="45">
        <f t="shared" ref="D20:F20" si="6">D8*D19</f>
        <v>388.94010649999996</v>
      </c>
      <c r="E20" s="45">
        <f t="shared" si="6"/>
        <v>447.89095034399998</v>
      </c>
      <c r="F20" s="45">
        <f t="shared" si="6"/>
        <v>496.86357251999999</v>
      </c>
    </row>
    <row r="21" spans="1:6" ht="31.2">
      <c r="A21" s="39" t="s">
        <v>20</v>
      </c>
      <c r="B21" s="44">
        <f>'Historical Financials'!D12</f>
        <v>4581.3</v>
      </c>
      <c r="C21" s="44">
        <f>C16+C18+C20</f>
        <v>3365.7720300000001</v>
      </c>
      <c r="D21" s="44">
        <f>D16+D18+D20</f>
        <v>3960.117448</v>
      </c>
      <c r="E21" s="44">
        <f t="shared" ref="E21:F21" si="7">E16+E18+E20</f>
        <v>4588.7695478639998</v>
      </c>
      <c r="F21" s="44">
        <f t="shared" si="7"/>
        <v>5217.0675114599999</v>
      </c>
    </row>
    <row r="22" spans="1:6" ht="28.8">
      <c r="A22" s="19" t="s">
        <v>53</v>
      </c>
      <c r="B22" s="20">
        <f>B21/B8</f>
        <v>0.97809517709600968</v>
      </c>
      <c r="C22" s="20">
        <f>C21/C8</f>
        <v>0.57799999999999996</v>
      </c>
      <c r="D22" s="20">
        <f t="shared" ref="D22:F22" si="8">D21/D8</f>
        <v>0.56000000000000005</v>
      </c>
      <c r="E22" s="20">
        <f t="shared" si="8"/>
        <v>0.54299999999999993</v>
      </c>
      <c r="F22" s="20">
        <f t="shared" si="8"/>
        <v>0.52500000000000002</v>
      </c>
    </row>
    <row r="23" spans="1:6" ht="31.2">
      <c r="A23" s="39" t="s">
        <v>21</v>
      </c>
      <c r="B23" s="44">
        <f>'Historical Financials'!D13</f>
        <v>-1435.2</v>
      </c>
      <c r="C23" s="44">
        <f>C13-C21</f>
        <v>803.73322000000007</v>
      </c>
      <c r="D23" s="44">
        <f t="shared" ref="D23:F23" si="9">D13-D21</f>
        <v>1210.7092119999998</v>
      </c>
      <c r="E23" s="44">
        <f t="shared" si="9"/>
        <v>1713.1483821359998</v>
      </c>
      <c r="F23" s="44">
        <f t="shared" si="9"/>
        <v>2315.77049214</v>
      </c>
    </row>
    <row r="24" spans="1:6" ht="15.6">
      <c r="A24" s="39" t="s">
        <v>54</v>
      </c>
      <c r="B24" s="20">
        <f>B23/B8</f>
        <v>-0.30641132389675269</v>
      </c>
      <c r="C24" s="20">
        <f>C23/C8</f>
        <v>0.13802414335233512</v>
      </c>
      <c r="D24" s="20">
        <f t="shared" ref="D24:F24" si="10">D23/D8</f>
        <v>0.1712063259796531</v>
      </c>
      <c r="E24" s="20">
        <f t="shared" si="10"/>
        <v>0.2027209171863642</v>
      </c>
      <c r="F24" s="20">
        <f t="shared" si="10"/>
        <v>0.23303886823447745</v>
      </c>
    </row>
    <row r="25" spans="1:6">
      <c r="A25" s="19" t="s">
        <v>34</v>
      </c>
      <c r="B25" s="41">
        <f>B26/B8</f>
        <v>0.23918102436004182</v>
      </c>
      <c r="C25" s="42">
        <v>0.23</v>
      </c>
      <c r="D25" s="42">
        <v>0.25</v>
      </c>
      <c r="E25" s="42">
        <v>0.27</v>
      </c>
      <c r="F25" s="42">
        <v>0.28999999999999998</v>
      </c>
    </row>
    <row r="26" spans="1:6">
      <c r="A26" s="19" t="s">
        <v>24</v>
      </c>
      <c r="B26" s="3">
        <f>'Historical Financials'!D16</f>
        <v>1120.3</v>
      </c>
      <c r="C26" s="44">
        <f>C8*C25</f>
        <v>1339.32105</v>
      </c>
      <c r="D26" s="44">
        <f t="shared" ref="D26:F26" si="11">D8*D25</f>
        <v>1767.9095749999999</v>
      </c>
      <c r="E26" s="44">
        <f t="shared" si="11"/>
        <v>2281.70861496</v>
      </c>
      <c r="F26" s="44">
        <f t="shared" si="11"/>
        <v>2881.8087206159998</v>
      </c>
    </row>
    <row r="31" spans="1:6" ht="0.6" customHeight="1"/>
  </sheetData>
  <mergeCells count="1">
    <mergeCell ref="A1:F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895E-4956-458B-8567-3392FA8531C7}">
  <dimension ref="A1:D22"/>
  <sheetViews>
    <sheetView workbookViewId="0">
      <selection activeCell="B10" sqref="B10"/>
    </sheetView>
  </sheetViews>
  <sheetFormatPr defaultRowHeight="14.4"/>
  <cols>
    <col min="1" max="4" width="20.77734375" customWidth="1"/>
  </cols>
  <sheetData>
    <row r="1" spans="1:4" ht="25.2">
      <c r="A1" s="77" t="s">
        <v>62</v>
      </c>
      <c r="B1" s="77"/>
      <c r="C1" s="77"/>
      <c r="D1" s="77"/>
    </row>
    <row r="2" spans="1:4">
      <c r="A2" s="76" t="s">
        <v>7</v>
      </c>
      <c r="B2" s="76"/>
      <c r="C2" s="11"/>
      <c r="D2" s="11"/>
    </row>
    <row r="3" spans="1:4">
      <c r="A3" s="48" t="s">
        <v>8</v>
      </c>
      <c r="B3" s="48" t="s">
        <v>56</v>
      </c>
      <c r="C3" s="48" t="s">
        <v>57</v>
      </c>
      <c r="D3" s="48" t="s">
        <v>58</v>
      </c>
    </row>
    <row r="4" spans="1:4" ht="28.8">
      <c r="A4" s="49" t="s">
        <v>26</v>
      </c>
      <c r="B4" s="50">
        <v>0.18</v>
      </c>
      <c r="C4" s="50">
        <v>0.25</v>
      </c>
      <c r="D4" s="50">
        <v>0.3</v>
      </c>
    </row>
    <row r="5" spans="1:4" ht="28.8">
      <c r="A5" s="49" t="s">
        <v>59</v>
      </c>
      <c r="B5" s="50">
        <v>0.05</v>
      </c>
      <c r="C5" s="50">
        <v>0.1</v>
      </c>
      <c r="D5" s="50">
        <v>0.12</v>
      </c>
    </row>
    <row r="6" spans="1:4">
      <c r="A6" s="49" t="s">
        <v>44</v>
      </c>
      <c r="B6" s="50">
        <v>0.73</v>
      </c>
      <c r="C6" s="50">
        <v>0.75</v>
      </c>
      <c r="D6" s="50">
        <v>0.76</v>
      </c>
    </row>
    <row r="7" spans="1:4">
      <c r="A7" s="49" t="s">
        <v>46</v>
      </c>
      <c r="B7" s="50">
        <v>-0.1</v>
      </c>
      <c r="C7" s="50">
        <v>-0.1</v>
      </c>
      <c r="D7" s="50">
        <v>-0.05</v>
      </c>
    </row>
    <row r="8" spans="1:4" ht="28.8">
      <c r="A8" s="49" t="s">
        <v>50</v>
      </c>
      <c r="B8" s="50">
        <v>0.35</v>
      </c>
      <c r="C8" s="50">
        <v>0.33</v>
      </c>
      <c r="D8" s="50">
        <v>0.31</v>
      </c>
    </row>
    <row r="9" spans="1:4">
      <c r="A9" s="49" t="s">
        <v>60</v>
      </c>
      <c r="B9" s="50">
        <v>0.21</v>
      </c>
      <c r="C9" s="50">
        <v>0.19</v>
      </c>
      <c r="D9" s="50">
        <v>0.18</v>
      </c>
    </row>
    <row r="10" spans="1:4">
      <c r="A10" s="49" t="s">
        <v>61</v>
      </c>
      <c r="B10" s="50">
        <v>6.5000000000000002E-2</v>
      </c>
      <c r="C10" s="50">
        <v>5.8000000000000003E-2</v>
      </c>
      <c r="D10" s="50">
        <v>5.5E-2</v>
      </c>
    </row>
    <row r="11" spans="1:4">
      <c r="A11" s="49" t="s">
        <v>34</v>
      </c>
      <c r="B11" s="50">
        <v>0.2</v>
      </c>
      <c r="C11" s="50">
        <v>0.23</v>
      </c>
      <c r="D11" s="50">
        <v>0.25</v>
      </c>
    </row>
    <row r="12" spans="1:4">
      <c r="A12" s="49" t="s">
        <v>13</v>
      </c>
      <c r="B12" s="51">
        <f>'Operating Model'!B4*(1+B4)</f>
        <v>5277.3140000000003</v>
      </c>
      <c r="C12" s="51">
        <f>'Operating Model'!C4*(1+C4)</f>
        <v>6987.96875</v>
      </c>
      <c r="D12" s="51">
        <f>'Operating Model'!D4*(1+D4)</f>
        <v>8866.33475</v>
      </c>
    </row>
    <row r="13" spans="1:4" ht="28.8">
      <c r="A13" s="49" t="s">
        <v>63</v>
      </c>
      <c r="B13" s="52">
        <f>'Operating Model'!B6*(1+'Scenario Analysis'!B5)</f>
        <v>222.18</v>
      </c>
      <c r="C13" s="52">
        <f>'Operating Model'!C6*(1+'Scenario Analysis'!C5)</f>
        <v>256.03600000000006</v>
      </c>
      <c r="D13" s="52">
        <f>'Operating Model'!D6*(1+'Scenario Analysis'!D5)</f>
        <v>281.5464960000001</v>
      </c>
    </row>
    <row r="14" spans="1:4">
      <c r="A14" s="49" t="s">
        <v>41</v>
      </c>
      <c r="B14" s="51">
        <f>B12+B13</f>
        <v>5499.4940000000006</v>
      </c>
      <c r="C14" s="51">
        <f t="shared" ref="C14:D14" si="0">C12+C13</f>
        <v>7244.0047500000001</v>
      </c>
      <c r="D14" s="51">
        <f t="shared" si="0"/>
        <v>9147.8812460000008</v>
      </c>
    </row>
    <row r="15" spans="1:4">
      <c r="A15" s="49" t="s">
        <v>45</v>
      </c>
      <c r="B15" s="51">
        <f>B12*B6</f>
        <v>3852.4392200000002</v>
      </c>
      <c r="C15" s="51">
        <f t="shared" ref="C15:D15" si="1">C12*C6</f>
        <v>5240.9765625</v>
      </c>
      <c r="D15" s="51">
        <f t="shared" si="1"/>
        <v>6738.4144100000003</v>
      </c>
    </row>
    <row r="16" spans="1:4">
      <c r="A16" s="49" t="s">
        <v>47</v>
      </c>
      <c r="B16" s="52">
        <f>B13*B7</f>
        <v>-22.218000000000004</v>
      </c>
      <c r="C16" s="52">
        <f t="shared" ref="C16:D16" si="2">C13*C7</f>
        <v>-25.603600000000007</v>
      </c>
      <c r="D16" s="52">
        <f t="shared" si="2"/>
        <v>-14.077324800000007</v>
      </c>
    </row>
    <row r="17" spans="1:4">
      <c r="A17" s="49" t="s">
        <v>48</v>
      </c>
      <c r="B17" s="51">
        <f>B15+B16</f>
        <v>3830.2212200000004</v>
      </c>
      <c r="C17" s="51">
        <f t="shared" ref="C17:D17" si="3">C15+C16</f>
        <v>5215.3729624999996</v>
      </c>
      <c r="D17" s="51">
        <f t="shared" si="3"/>
        <v>6724.3370852000007</v>
      </c>
    </row>
    <row r="18" spans="1:4">
      <c r="A18" s="49" t="s">
        <v>49</v>
      </c>
      <c r="B18" s="53">
        <f>B17/B14</f>
        <v>0.69646793323167544</v>
      </c>
      <c r="C18" s="53">
        <f t="shared" ref="C18:D18" si="4">C17/C14</f>
        <v>0.71995714283594303</v>
      </c>
      <c r="D18" s="53">
        <f t="shared" si="4"/>
        <v>0.73507043919489901</v>
      </c>
    </row>
    <row r="19" spans="1:4" ht="28.8">
      <c r="A19" s="49" t="s">
        <v>20</v>
      </c>
      <c r="B19" s="51">
        <f>B14*(B8+B9+B10)</f>
        <v>3437.1837500000001</v>
      </c>
      <c r="C19" s="51">
        <f t="shared" ref="C19:D19" si="5">C14*(C8+C9+C10)</f>
        <v>4187.0347455000001</v>
      </c>
      <c r="D19" s="51">
        <f t="shared" si="5"/>
        <v>4985.5952790700012</v>
      </c>
    </row>
    <row r="20" spans="1:4">
      <c r="A20" s="49" t="s">
        <v>64</v>
      </c>
      <c r="B20" s="51">
        <f>B17-B19</f>
        <v>393.03747000000021</v>
      </c>
      <c r="C20" s="51">
        <f t="shared" ref="C20:D20" si="6">C17-C19</f>
        <v>1028.3382169999995</v>
      </c>
      <c r="D20" s="51">
        <f t="shared" si="6"/>
        <v>1738.7418061299995</v>
      </c>
    </row>
    <row r="21" spans="1:4">
      <c r="A21" s="49" t="s">
        <v>54</v>
      </c>
      <c r="B21" s="53">
        <f>B20/B14</f>
        <v>7.1467933231675523E-2</v>
      </c>
      <c r="C21" s="53">
        <f t="shared" ref="C21:D21" si="7">C20/C14</f>
        <v>0.14195714283594299</v>
      </c>
      <c r="D21" s="53">
        <f t="shared" si="7"/>
        <v>0.19007043919489894</v>
      </c>
    </row>
    <row r="22" spans="1:4">
      <c r="A22" s="49" t="s">
        <v>24</v>
      </c>
      <c r="B22" s="51">
        <f>B14*B11</f>
        <v>1099.8988000000002</v>
      </c>
      <c r="C22" s="51">
        <f t="shared" ref="C22:D22" si="8">C14*C11</f>
        <v>1666.1210925</v>
      </c>
      <c r="D22" s="51">
        <f t="shared" si="8"/>
        <v>2286.9703115000002</v>
      </c>
    </row>
  </sheetData>
  <mergeCells count="2">
    <mergeCell ref="A2:B2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3612-9DEC-47BC-AEB4-7AD2500E31EC}">
  <dimension ref="A1:D22"/>
  <sheetViews>
    <sheetView zoomScale="90" zoomScaleNormal="90" workbookViewId="0">
      <selection activeCell="F25" sqref="F25"/>
    </sheetView>
  </sheetViews>
  <sheetFormatPr defaultRowHeight="14.4"/>
  <cols>
    <col min="1" max="4" width="20.77734375" customWidth="1"/>
  </cols>
  <sheetData>
    <row r="1" spans="1:4" ht="27.6">
      <c r="A1" s="78" t="s">
        <v>68</v>
      </c>
      <c r="B1" s="78"/>
      <c r="C1" s="78"/>
      <c r="D1" s="78"/>
    </row>
    <row r="2" spans="1:4">
      <c r="A2" s="76" t="s">
        <v>7</v>
      </c>
      <c r="B2" s="76"/>
      <c r="C2" s="11"/>
      <c r="D2" s="11"/>
    </row>
    <row r="3" spans="1:4">
      <c r="A3" s="48" t="s">
        <v>8</v>
      </c>
      <c r="B3" s="48" t="s">
        <v>11</v>
      </c>
      <c r="C3" s="48" t="s">
        <v>37</v>
      </c>
      <c r="D3" s="48" t="s">
        <v>65</v>
      </c>
    </row>
    <row r="4" spans="1:4">
      <c r="A4" s="49" t="s">
        <v>13</v>
      </c>
      <c r="B4" s="54">
        <f>'Operating Model'!B4</f>
        <v>4472.3</v>
      </c>
      <c r="C4" s="54">
        <f>'Operating Model'!C4</f>
        <v>5590.375</v>
      </c>
      <c r="D4" s="53">
        <f>C4/B4-1</f>
        <v>0.25</v>
      </c>
    </row>
    <row r="5" spans="1:4">
      <c r="A5" s="49" t="s">
        <v>41</v>
      </c>
      <c r="B5" s="54">
        <f>'Operating Model'!B8</f>
        <v>4683.9000000000005</v>
      </c>
      <c r="C5" s="54">
        <f>'Operating Model'!C8</f>
        <v>5823.1350000000002</v>
      </c>
      <c r="D5" s="53">
        <f t="shared" ref="D5:D6" si="0">C5/B5-1</f>
        <v>0.24322359572151409</v>
      </c>
    </row>
    <row r="6" spans="1:4">
      <c r="A6" s="49" t="s">
        <v>16</v>
      </c>
      <c r="B6" s="54">
        <f>'Operating Model'!B13</f>
        <v>3146.1</v>
      </c>
      <c r="C6" s="54">
        <f>'Operating Model'!C13</f>
        <v>4169.5052500000002</v>
      </c>
      <c r="D6" s="53">
        <f t="shared" si="0"/>
        <v>0.32529329964082532</v>
      </c>
    </row>
    <row r="7" spans="1:4">
      <c r="A7" s="49" t="s">
        <v>66</v>
      </c>
      <c r="B7" s="53">
        <f>'Operating Model'!B14</f>
        <v>0.67168385319925694</v>
      </c>
      <c r="C7" s="53">
        <f>'Operating Model'!C14</f>
        <v>0.71602414335233511</v>
      </c>
      <c r="D7" s="53">
        <f>C7-B7</f>
        <v>4.4340290153078166E-2</v>
      </c>
    </row>
    <row r="8" spans="1:4">
      <c r="A8" s="49" t="s">
        <v>64</v>
      </c>
      <c r="B8" s="54">
        <f>'Operating Model'!B23</f>
        <v>-1435.2</v>
      </c>
      <c r="C8" s="54">
        <f>'Operating Model'!C23</f>
        <v>803.73322000000007</v>
      </c>
      <c r="D8" s="54">
        <f>C8-B8</f>
        <v>2238.9332199999999</v>
      </c>
    </row>
    <row r="9" spans="1:4">
      <c r="A9" s="49" t="s">
        <v>67</v>
      </c>
      <c r="B9" s="53">
        <f>'Operating Model'!B24</f>
        <v>-0.30641132389675269</v>
      </c>
      <c r="C9" s="53">
        <f>'Operating Model'!C24</f>
        <v>0.13802414335233512</v>
      </c>
      <c r="D9" s="53">
        <f>C9-B9</f>
        <v>0.44443546724908778</v>
      </c>
    </row>
    <row r="10" spans="1:4">
      <c r="A10" s="49" t="s">
        <v>24</v>
      </c>
      <c r="B10" s="54">
        <f>'Operating Model'!B26</f>
        <v>1120.3</v>
      </c>
      <c r="C10" s="54">
        <f>'Operating Model'!C26</f>
        <v>1339.32105</v>
      </c>
      <c r="D10" s="53">
        <f>C10/B10-1</f>
        <v>0.19550214228331697</v>
      </c>
    </row>
    <row r="11" spans="1:4">
      <c r="A11" s="49" t="s">
        <v>34</v>
      </c>
      <c r="B11" s="53">
        <f>'Operating Model'!B25</f>
        <v>0.23918102436004182</v>
      </c>
      <c r="C11" s="53">
        <f>'Operating Model'!C25</f>
        <v>0.23</v>
      </c>
      <c r="D11" s="53">
        <f>C11-B11</f>
        <v>-9.1810243600418118E-3</v>
      </c>
    </row>
    <row r="15" spans="1:4" ht="27.6">
      <c r="A15" s="78" t="s">
        <v>69</v>
      </c>
      <c r="B15" s="78"/>
      <c r="C15" s="78"/>
      <c r="D15" s="78"/>
    </row>
    <row r="16" spans="1:4">
      <c r="A16" s="76" t="s">
        <v>7</v>
      </c>
      <c r="B16" s="76"/>
    </row>
    <row r="17" spans="1:4">
      <c r="A17" s="48" t="s">
        <v>8</v>
      </c>
      <c r="B17" s="48" t="s">
        <v>56</v>
      </c>
      <c r="C17" s="48" t="s">
        <v>57</v>
      </c>
      <c r="D17" s="48" t="s">
        <v>58</v>
      </c>
    </row>
    <row r="18" spans="1:4">
      <c r="A18" s="49" t="s">
        <v>41</v>
      </c>
      <c r="B18" s="51">
        <f>'Scenario Analysis'!B14</f>
        <v>5499.4940000000006</v>
      </c>
      <c r="C18" s="51">
        <f>'Scenario Analysis'!C14</f>
        <v>7244.0047500000001</v>
      </c>
      <c r="D18" s="51">
        <f>'Scenario Analysis'!D14</f>
        <v>9147.8812460000008</v>
      </c>
    </row>
    <row r="19" spans="1:4">
      <c r="A19" s="49" t="s">
        <v>49</v>
      </c>
      <c r="B19" s="53">
        <f>'Scenario Analysis'!B18</f>
        <v>0.69646793323167544</v>
      </c>
      <c r="C19" s="53">
        <f>'Scenario Analysis'!C18</f>
        <v>0.71995714283594303</v>
      </c>
      <c r="D19" s="53">
        <f>'Scenario Analysis'!D18</f>
        <v>0.73507043919489901</v>
      </c>
    </row>
    <row r="20" spans="1:4">
      <c r="A20" s="49" t="s">
        <v>64</v>
      </c>
      <c r="B20" s="51">
        <f>'Scenario Analysis'!B20</f>
        <v>393.03747000000021</v>
      </c>
      <c r="C20" s="51">
        <f>'Scenario Analysis'!C20</f>
        <v>1028.3382169999995</v>
      </c>
      <c r="D20" s="51">
        <f>'Scenario Analysis'!D20</f>
        <v>1738.7418061299995</v>
      </c>
    </row>
    <row r="21" spans="1:4">
      <c r="A21" s="49" t="s">
        <v>54</v>
      </c>
      <c r="B21" s="53">
        <f>'Scenario Analysis'!B21</f>
        <v>7.1467933231675523E-2</v>
      </c>
      <c r="C21" s="53">
        <f>'Scenario Analysis'!C21</f>
        <v>0.14195714283594299</v>
      </c>
      <c r="D21" s="53">
        <f>'Scenario Analysis'!D21</f>
        <v>0.19007043919489894</v>
      </c>
    </row>
    <row r="22" spans="1:4">
      <c r="A22" s="49" t="s">
        <v>24</v>
      </c>
      <c r="B22" s="51">
        <f>'Scenario Analysis'!B22</f>
        <v>1099.8988000000002</v>
      </c>
      <c r="C22" s="51">
        <f>'Scenario Analysis'!C22</f>
        <v>1666.1210925</v>
      </c>
      <c r="D22" s="51">
        <f>'Scenario Analysis'!D22</f>
        <v>2286.9703115000002</v>
      </c>
    </row>
  </sheetData>
  <mergeCells count="4">
    <mergeCell ref="A2:B2"/>
    <mergeCell ref="A1:D1"/>
    <mergeCell ref="A16:B16"/>
    <mergeCell ref="A15:D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3C8D-EB40-4E0C-9917-97A51A3EAE25}">
  <dimension ref="A1:D44"/>
  <sheetViews>
    <sheetView zoomScale="90" zoomScaleNormal="90" workbookViewId="0">
      <selection activeCell="A2" sqref="A2:B2"/>
    </sheetView>
  </sheetViews>
  <sheetFormatPr defaultRowHeight="14.4"/>
  <cols>
    <col min="1" max="4" width="20.77734375" customWidth="1"/>
  </cols>
  <sheetData>
    <row r="1" spans="1:3" ht="18">
      <c r="A1" s="79" t="s">
        <v>70</v>
      </c>
      <c r="B1" s="79"/>
      <c r="C1" s="79"/>
    </row>
    <row r="2" spans="1:3">
      <c r="A2" s="76" t="s">
        <v>7</v>
      </c>
      <c r="B2" s="76"/>
      <c r="C2" s="11"/>
    </row>
    <row r="3" spans="1:3">
      <c r="A3" s="48" t="s">
        <v>8</v>
      </c>
      <c r="B3" s="48" t="s">
        <v>11</v>
      </c>
      <c r="C3" s="48" t="s">
        <v>37</v>
      </c>
    </row>
    <row r="4" spans="1:3">
      <c r="A4" s="49" t="s">
        <v>13</v>
      </c>
      <c r="B4" s="57">
        <f>'KPI Summary'!B4</f>
        <v>4472.3</v>
      </c>
      <c r="C4" s="57">
        <f>'KPI Summary'!C4</f>
        <v>5590.375</v>
      </c>
    </row>
    <row r="5" spans="1:3">
      <c r="A5" s="49" t="s">
        <v>41</v>
      </c>
      <c r="B5" s="57">
        <f>'KPI Summary'!B5</f>
        <v>4683.9000000000005</v>
      </c>
      <c r="C5" s="57">
        <f>'KPI Summary'!C5</f>
        <v>5823.1350000000002</v>
      </c>
    </row>
    <row r="6" spans="1:3">
      <c r="A6" s="49" t="s">
        <v>16</v>
      </c>
      <c r="B6" s="57">
        <f>'KPI Summary'!B6</f>
        <v>3146.1</v>
      </c>
      <c r="C6" s="57">
        <f>'KPI Summary'!C6</f>
        <v>4169.5052500000002</v>
      </c>
    </row>
    <row r="14" spans="1:3" ht="18">
      <c r="A14" s="79" t="s">
        <v>71</v>
      </c>
      <c r="B14" s="79"/>
      <c r="C14" s="79"/>
    </row>
    <row r="15" spans="1:3">
      <c r="A15" s="76" t="s">
        <v>7</v>
      </c>
      <c r="B15" s="76"/>
      <c r="C15" s="11"/>
    </row>
    <row r="16" spans="1:3">
      <c r="A16" s="48" t="s">
        <v>8</v>
      </c>
      <c r="B16" s="48" t="s">
        <v>11</v>
      </c>
      <c r="C16" s="48" t="s">
        <v>37</v>
      </c>
    </row>
    <row r="17" spans="1:3">
      <c r="A17" s="49" t="s">
        <v>66</v>
      </c>
      <c r="B17" s="56">
        <f>'KPI Summary'!B7</f>
        <v>0.67168385319925694</v>
      </c>
      <c r="C17" s="56">
        <f>'KPI Summary'!C7</f>
        <v>0.71602414335233511</v>
      </c>
    </row>
    <row r="18" spans="1:3">
      <c r="A18" s="49" t="s">
        <v>67</v>
      </c>
      <c r="B18" s="56">
        <f>'KPI Summary'!B9</f>
        <v>-0.30641132389675269</v>
      </c>
      <c r="C18" s="56">
        <f>'KPI Summary'!C9</f>
        <v>0.13802414335233512</v>
      </c>
    </row>
    <row r="19" spans="1:3">
      <c r="A19" s="49" t="s">
        <v>34</v>
      </c>
      <c r="B19" s="56">
        <f>'KPI Summary'!B11</f>
        <v>0.23918102436004182</v>
      </c>
      <c r="C19" s="56">
        <f>'KPI Summary'!C11</f>
        <v>0.23</v>
      </c>
    </row>
    <row r="27" spans="1:3" ht="18">
      <c r="A27" s="79" t="s">
        <v>72</v>
      </c>
      <c r="B27" s="79"/>
      <c r="C27" s="79"/>
    </row>
    <row r="28" spans="1:3">
      <c r="A28" s="76" t="s">
        <v>7</v>
      </c>
      <c r="B28" s="76"/>
      <c r="C28" s="11"/>
    </row>
    <row r="29" spans="1:3">
      <c r="A29" s="48" t="s">
        <v>8</v>
      </c>
      <c r="B29" s="48" t="s">
        <v>11</v>
      </c>
      <c r="C29" s="48" t="s">
        <v>37</v>
      </c>
    </row>
    <row r="30" spans="1:3">
      <c r="A30" s="49" t="s">
        <v>64</v>
      </c>
      <c r="B30" s="57">
        <f>'KPI Summary'!B8</f>
        <v>-1435.2</v>
      </c>
      <c r="C30" s="57">
        <f>'KPI Summary'!C8</f>
        <v>803.73322000000007</v>
      </c>
    </row>
    <row r="31" spans="1:3">
      <c r="A31" s="49" t="s">
        <v>24</v>
      </c>
      <c r="B31" s="57">
        <f>'KPI Summary'!B10</f>
        <v>1120.3</v>
      </c>
      <c r="C31" s="57">
        <f>'KPI Summary'!C10</f>
        <v>1339.32105</v>
      </c>
    </row>
    <row r="39" spans="1:4" ht="18">
      <c r="A39" s="79" t="s">
        <v>73</v>
      </c>
      <c r="B39" s="79"/>
      <c r="C39" s="79"/>
      <c r="D39" s="79"/>
    </row>
    <row r="40" spans="1:4" ht="14.4" customHeight="1">
      <c r="A40" s="76" t="s">
        <v>7</v>
      </c>
      <c r="B40" s="76"/>
      <c r="C40" s="11"/>
      <c r="D40" s="11"/>
    </row>
    <row r="41" spans="1:4">
      <c r="A41" s="48" t="s">
        <v>8</v>
      </c>
      <c r="B41" s="48" t="s">
        <v>56</v>
      </c>
      <c r="C41" s="48" t="s">
        <v>57</v>
      </c>
      <c r="D41" s="48" t="s">
        <v>58</v>
      </c>
    </row>
    <row r="42" spans="1:4">
      <c r="A42" s="49" t="s">
        <v>41</v>
      </c>
      <c r="B42" s="55">
        <f>'KPI Summary'!B18</f>
        <v>5499.4940000000006</v>
      </c>
      <c r="C42" s="55">
        <f>'KPI Summary'!C18</f>
        <v>7244.0047500000001</v>
      </c>
      <c r="D42" s="55">
        <f>'KPI Summary'!D18</f>
        <v>9147.8812460000008</v>
      </c>
    </row>
    <row r="43" spans="1:4">
      <c r="A43" s="49" t="s">
        <v>64</v>
      </c>
      <c r="B43" s="55">
        <f>'KPI Summary'!B20</f>
        <v>393.03747000000021</v>
      </c>
      <c r="C43" s="55">
        <f>'KPI Summary'!C20</f>
        <v>1028.3382169999995</v>
      </c>
      <c r="D43" s="55">
        <f>'KPI Summary'!D20</f>
        <v>1738.7418061299995</v>
      </c>
    </row>
    <row r="44" spans="1:4">
      <c r="A44" s="49" t="s">
        <v>24</v>
      </c>
      <c r="B44" s="55">
        <f>'KPI Summary'!B22</f>
        <v>1099.8988000000002</v>
      </c>
      <c r="C44" s="55">
        <f>'KPI Summary'!C22</f>
        <v>1666.1210925</v>
      </c>
      <c r="D44" s="55">
        <f>'KPI Summary'!D22</f>
        <v>2286.9703115000002</v>
      </c>
    </row>
  </sheetData>
  <mergeCells count="8">
    <mergeCell ref="A40:B40"/>
    <mergeCell ref="A2:B2"/>
    <mergeCell ref="A15:B15"/>
    <mergeCell ref="A1:C1"/>
    <mergeCell ref="A14:C14"/>
    <mergeCell ref="A27:C27"/>
    <mergeCell ref="A39:D39"/>
    <mergeCell ref="A28:B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4322-FDD5-4DAB-AA94-53A759E22E30}">
  <dimension ref="A1:L48"/>
  <sheetViews>
    <sheetView workbookViewId="0">
      <selection activeCell="A16" sqref="A16"/>
    </sheetView>
  </sheetViews>
  <sheetFormatPr defaultRowHeight="14.4"/>
  <cols>
    <col min="1" max="1" width="38.44140625" customWidth="1"/>
    <col min="2" max="6" width="20.77734375" customWidth="1"/>
    <col min="7" max="7" width="5.6640625" bestFit="1" customWidth="1"/>
    <col min="8" max="8" width="7" bestFit="1" customWidth="1"/>
    <col min="9" max="9" width="8.77734375" bestFit="1" customWidth="1"/>
    <col min="10" max="10" width="8.44140625" bestFit="1" customWidth="1"/>
    <col min="11" max="11" width="5" bestFit="1" customWidth="1"/>
    <col min="12" max="12" width="7" bestFit="1" customWidth="1"/>
  </cols>
  <sheetData>
    <row r="1" spans="1:12" ht="23.4">
      <c r="A1" s="70" t="s">
        <v>74</v>
      </c>
      <c r="B1" s="70" t="s">
        <v>90</v>
      </c>
      <c r="C1" s="70" t="s">
        <v>91</v>
      </c>
      <c r="D1" s="70" t="s">
        <v>92</v>
      </c>
      <c r="E1" s="70" t="s">
        <v>93</v>
      </c>
      <c r="F1" s="70" t="s">
        <v>94</v>
      </c>
    </row>
    <row r="2" spans="1:12" ht="18">
      <c r="A2" s="61" t="s">
        <v>8</v>
      </c>
      <c r="B2" s="48" t="s">
        <v>11</v>
      </c>
      <c r="C2" s="48" t="s">
        <v>37</v>
      </c>
      <c r="D2" s="48" t="s">
        <v>38</v>
      </c>
      <c r="E2" s="48" t="s">
        <v>39</v>
      </c>
      <c r="F2" s="48" t="s">
        <v>40</v>
      </c>
      <c r="G2" s="58"/>
      <c r="H2" s="58"/>
      <c r="I2" s="58"/>
      <c r="J2" s="58"/>
      <c r="K2" s="58"/>
      <c r="L2" s="58"/>
    </row>
    <row r="3" spans="1:12">
      <c r="A3" s="62" t="s">
        <v>13</v>
      </c>
      <c r="B3" s="65">
        <f>'Operating Model'!B4</f>
        <v>4472.3</v>
      </c>
      <c r="C3" s="65">
        <f>'Operating Model'!C4</f>
        <v>5590.375</v>
      </c>
      <c r="D3" s="65">
        <f>'Operating Model'!D4</f>
        <v>6820.2574999999997</v>
      </c>
      <c r="E3" s="65">
        <f>'Operating Model'!E4</f>
        <v>8184.3089999999993</v>
      </c>
      <c r="F3" s="65">
        <f>'Operating Model'!F4</f>
        <v>9657.4846199999993</v>
      </c>
      <c r="G3" s="59"/>
      <c r="H3" s="59"/>
      <c r="I3" s="59"/>
      <c r="J3" s="59"/>
      <c r="K3" s="59"/>
      <c r="L3" s="59"/>
    </row>
    <row r="4" spans="1:12">
      <c r="A4" s="62" t="s">
        <v>75</v>
      </c>
      <c r="B4" s="65">
        <f>'Operating Model'!B6</f>
        <v>211.6</v>
      </c>
      <c r="C4" s="65">
        <f>'Operating Model'!C6</f>
        <v>232.76000000000002</v>
      </c>
      <c r="D4" s="65">
        <f>'Operating Model'!D6</f>
        <v>251.38080000000005</v>
      </c>
      <c r="E4" s="65">
        <f>'Operating Model'!E6</f>
        <v>266.46364800000009</v>
      </c>
      <c r="F4" s="65">
        <f>'Operating Model'!F6</f>
        <v>279.7868304000001</v>
      </c>
      <c r="G4" s="59"/>
      <c r="H4" s="59"/>
      <c r="I4" s="59"/>
      <c r="J4" s="59"/>
      <c r="K4" s="59"/>
      <c r="L4" s="59"/>
    </row>
    <row r="5" spans="1:12">
      <c r="A5" s="62" t="s">
        <v>41</v>
      </c>
      <c r="B5" s="65">
        <f>'Operating Model'!B8</f>
        <v>4683.9000000000005</v>
      </c>
      <c r="C5" s="65">
        <f>'Operating Model'!C8</f>
        <v>5823.1350000000002</v>
      </c>
      <c r="D5" s="65">
        <f>'Operating Model'!D8</f>
        <v>7071.6382999999996</v>
      </c>
      <c r="E5" s="65">
        <f>'Operating Model'!E8</f>
        <v>8450.7726480000001</v>
      </c>
      <c r="F5" s="65">
        <f>'Operating Model'!F8</f>
        <v>9937.2714503999996</v>
      </c>
      <c r="G5" s="59"/>
      <c r="H5" s="59"/>
      <c r="I5" s="59"/>
      <c r="J5" s="59"/>
      <c r="K5" s="59"/>
      <c r="L5" s="59"/>
    </row>
    <row r="6" spans="1:12">
      <c r="A6" s="62" t="s">
        <v>26</v>
      </c>
      <c r="B6" s="66"/>
      <c r="C6" s="66">
        <f>'Operating Model'!C5</f>
        <v>0.25</v>
      </c>
      <c r="D6" s="66">
        <f>'Operating Model'!D5</f>
        <v>0.22</v>
      </c>
      <c r="E6" s="66">
        <f>'Operating Model'!E5</f>
        <v>0.2</v>
      </c>
      <c r="F6" s="66">
        <f>'Operating Model'!F5</f>
        <v>0.18</v>
      </c>
    </row>
    <row r="7" spans="1:12">
      <c r="A7" s="62" t="s">
        <v>45</v>
      </c>
      <c r="B7" s="67">
        <f>'Operating Model'!B10</f>
        <v>3220.1</v>
      </c>
      <c r="C7" s="67">
        <f>'Operating Model'!C10</f>
        <v>4192.78125</v>
      </c>
      <c r="D7" s="67">
        <f>'Operating Model'!D10</f>
        <v>5183.3957</v>
      </c>
      <c r="E7" s="67">
        <f>'Operating Model'!E10</f>
        <v>6301.9179299999996</v>
      </c>
      <c r="F7" s="67">
        <f>'Operating Model'!F10</f>
        <v>7532.8380035999999</v>
      </c>
    </row>
    <row r="8" spans="1:12">
      <c r="A8" s="62" t="s">
        <v>44</v>
      </c>
      <c r="B8" s="63">
        <f>'Operating Model'!B9</f>
        <v>0.72</v>
      </c>
      <c r="C8" s="63">
        <f>'Operating Model'!C9</f>
        <v>0.75</v>
      </c>
      <c r="D8" s="63">
        <f>'Operating Model'!D9</f>
        <v>0.76</v>
      </c>
      <c r="E8" s="63">
        <f>'Operating Model'!E9</f>
        <v>0.77</v>
      </c>
      <c r="F8" s="63">
        <f>'Operating Model'!F9</f>
        <v>0.78</v>
      </c>
    </row>
    <row r="9" spans="1:12">
      <c r="A9" s="62" t="s">
        <v>64</v>
      </c>
      <c r="B9" s="67">
        <f>'Operating Model'!B23</f>
        <v>-1435.2</v>
      </c>
      <c r="C9" s="67">
        <f>'Operating Model'!C23</f>
        <v>803.73322000000007</v>
      </c>
      <c r="D9" s="67">
        <f>'Operating Model'!D23</f>
        <v>1210.7092119999998</v>
      </c>
      <c r="E9" s="67">
        <f>'Operating Model'!E23</f>
        <v>1713.1483821359998</v>
      </c>
      <c r="F9" s="67">
        <f>'Operating Model'!F23</f>
        <v>2315.77049214</v>
      </c>
    </row>
    <row r="10" spans="1:12">
      <c r="A10" s="62" t="s">
        <v>67</v>
      </c>
      <c r="B10" s="63">
        <f>'Operating Model'!B24</f>
        <v>-0.30641132389675269</v>
      </c>
      <c r="C10" s="63">
        <f>'Operating Model'!C24</f>
        <v>0.13802414335233512</v>
      </c>
      <c r="D10" s="63">
        <f>'Operating Model'!D24</f>
        <v>0.1712063259796531</v>
      </c>
      <c r="E10" s="63">
        <f>'Operating Model'!E24</f>
        <v>0.2027209171863642</v>
      </c>
      <c r="F10" s="63">
        <f>'Operating Model'!F24</f>
        <v>0.23303886823447745</v>
      </c>
    </row>
    <row r="11" spans="1:12">
      <c r="A11" s="62" t="s">
        <v>24</v>
      </c>
      <c r="B11" s="67">
        <f>'Operating Model'!B26</f>
        <v>1120.3</v>
      </c>
      <c r="C11" s="67">
        <f>'Operating Model'!C26</f>
        <v>1339.32105</v>
      </c>
      <c r="D11" s="67">
        <f>'Operating Model'!D26</f>
        <v>1767.9095749999999</v>
      </c>
      <c r="E11" s="67">
        <f>'Operating Model'!E26</f>
        <v>2281.70861496</v>
      </c>
      <c r="F11" s="67">
        <f>'Operating Model'!F26</f>
        <v>2881.8087206159998</v>
      </c>
    </row>
    <row r="12" spans="1:12">
      <c r="A12" s="62" t="s">
        <v>76</v>
      </c>
      <c r="B12" s="63">
        <f>'Operating Model'!B25</f>
        <v>0.23918102436004182</v>
      </c>
      <c r="C12" s="63">
        <f>'Operating Model'!C25</f>
        <v>0.23</v>
      </c>
      <c r="D12" s="63">
        <f>'Operating Model'!D25</f>
        <v>0.25</v>
      </c>
      <c r="E12" s="63">
        <f>'Operating Model'!E25</f>
        <v>0.27</v>
      </c>
      <c r="F12" s="63">
        <f>'Operating Model'!F25</f>
        <v>0.28999999999999998</v>
      </c>
    </row>
    <row r="13" spans="1:12">
      <c r="A13" s="60"/>
    </row>
    <row r="14" spans="1:12">
      <c r="A14" s="60"/>
    </row>
    <row r="17" spans="1:4" ht="21">
      <c r="A17" s="71" t="s">
        <v>82</v>
      </c>
      <c r="B17" s="71" t="s">
        <v>90</v>
      </c>
      <c r="C17" s="71" t="s">
        <v>91</v>
      </c>
      <c r="D17" s="71" t="s">
        <v>92</v>
      </c>
    </row>
    <row r="18" spans="1:4">
      <c r="A18" s="14" t="s">
        <v>8</v>
      </c>
      <c r="B18" s="14" t="s">
        <v>9</v>
      </c>
      <c r="C18" s="14" t="s">
        <v>10</v>
      </c>
      <c r="D18" s="14" t="s">
        <v>11</v>
      </c>
    </row>
    <row r="19" spans="1:4">
      <c r="A19" s="14" t="s">
        <v>13</v>
      </c>
      <c r="B19" s="68">
        <f>'Saas Metrics'!B4</f>
        <v>2666.8</v>
      </c>
      <c r="C19" s="68">
        <f>'Saas Metrics'!C4</f>
        <v>3462.4</v>
      </c>
      <c r="D19" s="68">
        <f>'Saas Metrics'!D4</f>
        <v>4472.3</v>
      </c>
    </row>
    <row r="20" spans="1:4">
      <c r="A20" s="14" t="s">
        <v>77</v>
      </c>
      <c r="B20" s="15"/>
      <c r="C20" s="15">
        <f>'Saas Metrics'!C5</f>
        <v>0.29833508324583757</v>
      </c>
      <c r="D20" s="15">
        <f>'Saas Metrics'!D5</f>
        <v>0.2916762939001849</v>
      </c>
    </row>
    <row r="21" spans="1:4">
      <c r="A21" s="14" t="s">
        <v>78</v>
      </c>
      <c r="B21" s="15">
        <f>'Saas Metrics'!B6</f>
        <v>1.33</v>
      </c>
      <c r="C21" s="15">
        <f>'Saas Metrics'!C6</f>
        <v>1.26</v>
      </c>
      <c r="D21" s="15">
        <f>'Saas Metrics'!D6</f>
        <v>1.25</v>
      </c>
    </row>
    <row r="22" spans="1:4">
      <c r="A22" s="14" t="s">
        <v>79</v>
      </c>
      <c r="B22" s="2">
        <f>'Saas Metrics'!B7</f>
        <v>449</v>
      </c>
      <c r="C22" s="2">
        <f>'Saas Metrics'!C7</f>
        <v>576</v>
      </c>
      <c r="D22" s="2">
        <f>'Saas Metrics'!D7</f>
        <v>733</v>
      </c>
    </row>
    <row r="23" spans="1:4">
      <c r="A23" s="14" t="s">
        <v>30</v>
      </c>
      <c r="B23" s="2">
        <f>'Saas Metrics'!B9</f>
        <v>716</v>
      </c>
      <c r="C23" s="2">
        <f>'Saas Metrics'!C9</f>
        <v>750</v>
      </c>
      <c r="D23" s="2">
        <f>'Saas Metrics'!D9</f>
        <v>790</v>
      </c>
    </row>
    <row r="24" spans="1:4">
      <c r="A24" s="14" t="s">
        <v>80</v>
      </c>
      <c r="B24" s="68">
        <f>'Saas Metrics'!B10</f>
        <v>5174.7</v>
      </c>
      <c r="C24" s="68">
        <f>'Saas Metrics'!C10</f>
        <v>6867.5</v>
      </c>
      <c r="D24" s="68">
        <f>'Saas Metrics'!D10</f>
        <v>9771.5</v>
      </c>
    </row>
    <row r="25" spans="1:4">
      <c r="A25" s="14" t="s">
        <v>32</v>
      </c>
      <c r="B25" s="15"/>
      <c r="C25" s="15">
        <f>'Saas Metrics'!C11</f>
        <v>0.32713007517344006</v>
      </c>
      <c r="D25" s="15">
        <f>'Saas Metrics'!D11</f>
        <v>0.42286130323989801</v>
      </c>
    </row>
    <row r="26" spans="1:4">
      <c r="A26" s="14" t="s">
        <v>81</v>
      </c>
      <c r="B26" s="69">
        <f>'Saas Metrics'!B12</f>
        <v>1.8438268305718866</v>
      </c>
      <c r="C26" s="69">
        <f>'Saas Metrics'!C12</f>
        <v>1.8937513787778513</v>
      </c>
      <c r="D26" s="69">
        <f>'Saas Metrics'!D12</f>
        <v>2.0861888597109246</v>
      </c>
    </row>
    <row r="27" spans="1:4">
      <c r="A27" s="14" t="s">
        <v>24</v>
      </c>
      <c r="B27" s="2">
        <f>'Saas Metrics'!B13</f>
        <v>778.9</v>
      </c>
      <c r="C27" s="2">
        <f>'Saas Metrics'!C13</f>
        <v>884.1</v>
      </c>
      <c r="D27" s="2">
        <f>'Saas Metrics'!D13</f>
        <v>1120.3</v>
      </c>
    </row>
    <row r="28" spans="1:4">
      <c r="A28" s="14" t="s">
        <v>76</v>
      </c>
      <c r="B28" s="15">
        <f>'Saas Metrics'!B14</f>
        <v>0.27753429538571173</v>
      </c>
      <c r="C28" s="15">
        <f>'Saas Metrics'!C14</f>
        <v>0.24379549966909331</v>
      </c>
      <c r="D28" s="15">
        <f>'Saas Metrics'!D14</f>
        <v>0.23918102436004185</v>
      </c>
    </row>
    <row r="34" spans="1:4" ht="23.4">
      <c r="A34" s="70" t="s">
        <v>89</v>
      </c>
      <c r="B34" s="70" t="s">
        <v>90</v>
      </c>
      <c r="C34" s="70" t="s">
        <v>91</v>
      </c>
      <c r="D34" s="70" t="s">
        <v>92</v>
      </c>
    </row>
    <row r="35" spans="1:4">
      <c r="A35" s="14" t="s">
        <v>8</v>
      </c>
      <c r="B35" s="14" t="s">
        <v>56</v>
      </c>
      <c r="C35" s="14" t="s">
        <v>57</v>
      </c>
      <c r="D35" s="14" t="s">
        <v>58</v>
      </c>
    </row>
    <row r="36" spans="1:4">
      <c r="A36" s="14" t="s">
        <v>77</v>
      </c>
      <c r="B36" s="15">
        <f>'Scenario Analysis'!B4</f>
        <v>0.18</v>
      </c>
      <c r="C36" s="15">
        <f>'Scenario Analysis'!C4</f>
        <v>0.25</v>
      </c>
      <c r="D36" s="15">
        <f>'Scenario Analysis'!D4</f>
        <v>0.3</v>
      </c>
    </row>
    <row r="37" spans="1:4">
      <c r="A37" s="14" t="s">
        <v>83</v>
      </c>
      <c r="B37" s="15">
        <f>'Scenario Analysis'!B5</f>
        <v>0.05</v>
      </c>
      <c r="C37" s="15">
        <f>'Scenario Analysis'!C5</f>
        <v>0.1</v>
      </c>
      <c r="D37" s="15">
        <f>'Scenario Analysis'!D5</f>
        <v>0.12</v>
      </c>
    </row>
    <row r="38" spans="1:4">
      <c r="A38" s="14" t="s">
        <v>84</v>
      </c>
      <c r="B38" s="15">
        <f>'Scenario Analysis'!B6</f>
        <v>0.73</v>
      </c>
      <c r="C38" s="15">
        <f>'Scenario Analysis'!C6</f>
        <v>0.75</v>
      </c>
      <c r="D38" s="15">
        <f>'Scenario Analysis'!D6</f>
        <v>0.76</v>
      </c>
    </row>
    <row r="39" spans="1:4">
      <c r="A39" s="14" t="s">
        <v>85</v>
      </c>
      <c r="B39" s="15">
        <f>'Scenario Analysis'!B7</f>
        <v>-0.1</v>
      </c>
      <c r="C39" s="15">
        <f>'Scenario Analysis'!C7</f>
        <v>-0.1</v>
      </c>
      <c r="D39" s="15">
        <f>'Scenario Analysis'!D7</f>
        <v>-0.05</v>
      </c>
    </row>
    <row r="40" spans="1:4">
      <c r="A40" s="14" t="s">
        <v>86</v>
      </c>
      <c r="B40" s="15">
        <f>'Scenario Analysis'!B8</f>
        <v>0.35</v>
      </c>
      <c r="C40" s="15">
        <f>'Scenario Analysis'!C8</f>
        <v>0.33</v>
      </c>
      <c r="D40" s="15">
        <f>'Scenario Analysis'!D8</f>
        <v>0.31</v>
      </c>
    </row>
    <row r="41" spans="1:4">
      <c r="A41" s="14" t="s">
        <v>87</v>
      </c>
      <c r="B41" s="15">
        <f>'Scenario Analysis'!B9</f>
        <v>0.21</v>
      </c>
      <c r="C41" s="15">
        <f>'Scenario Analysis'!C9</f>
        <v>0.19</v>
      </c>
      <c r="D41" s="15">
        <f>'Scenario Analysis'!D9</f>
        <v>0.18</v>
      </c>
    </row>
    <row r="42" spans="1:4">
      <c r="A42" s="14" t="s">
        <v>88</v>
      </c>
      <c r="B42" s="15">
        <f>'Scenario Analysis'!B10</f>
        <v>6.5000000000000002E-2</v>
      </c>
      <c r="C42" s="15">
        <f>'Scenario Analysis'!C10</f>
        <v>5.8000000000000003E-2</v>
      </c>
      <c r="D42" s="15">
        <f>'Scenario Analysis'!D10</f>
        <v>5.5E-2</v>
      </c>
    </row>
    <row r="43" spans="1:4">
      <c r="A43" s="14" t="s">
        <v>76</v>
      </c>
      <c r="B43" s="15">
        <f>'Scenario Analysis'!B11</f>
        <v>0.2</v>
      </c>
      <c r="C43" s="15">
        <f>'Scenario Analysis'!C11</f>
        <v>0.23</v>
      </c>
      <c r="D43" s="15">
        <f>'Scenario Analysis'!D11</f>
        <v>0.25</v>
      </c>
    </row>
    <row r="44" spans="1:4">
      <c r="A44" s="14" t="s">
        <v>41</v>
      </c>
      <c r="B44" s="64">
        <f>'Scenario Analysis'!B14</f>
        <v>5499.4940000000006</v>
      </c>
      <c r="C44" s="64">
        <f>'Scenario Analysis'!C14</f>
        <v>7244.0047500000001</v>
      </c>
      <c r="D44" s="64">
        <f>'Scenario Analysis'!D14</f>
        <v>9147.8812460000008</v>
      </c>
    </row>
    <row r="45" spans="1:4">
      <c r="A45" s="14" t="s">
        <v>66</v>
      </c>
      <c r="B45" s="15">
        <f>'Scenario Analysis'!B18</f>
        <v>0.69646793323167544</v>
      </c>
      <c r="C45" s="15">
        <f>'Scenario Analysis'!C18</f>
        <v>0.71995714283594303</v>
      </c>
      <c r="D45" s="15">
        <f>'Scenario Analysis'!D18</f>
        <v>0.73507043919489901</v>
      </c>
    </row>
    <row r="46" spans="1:4">
      <c r="A46" s="14" t="s">
        <v>64</v>
      </c>
      <c r="B46" s="64">
        <f>'Scenario Analysis'!B20</f>
        <v>393.03747000000021</v>
      </c>
      <c r="C46" s="64">
        <f>'Scenario Analysis'!C20</f>
        <v>1028.3382169999995</v>
      </c>
      <c r="D46" s="64">
        <f>'Scenario Analysis'!D20</f>
        <v>1738.7418061299995</v>
      </c>
    </row>
    <row r="47" spans="1:4">
      <c r="A47" s="14" t="s">
        <v>67</v>
      </c>
      <c r="B47" s="15">
        <f>'Scenario Analysis'!B21</f>
        <v>7.1467933231675523E-2</v>
      </c>
      <c r="C47" s="15">
        <f>'Scenario Analysis'!C21</f>
        <v>0.14195714283594299</v>
      </c>
      <c r="D47" s="15">
        <f>'Scenario Analysis'!D21</f>
        <v>0.19007043919489894</v>
      </c>
    </row>
    <row r="48" spans="1:4">
      <c r="A48" s="14" t="s">
        <v>24</v>
      </c>
      <c r="B48" s="64">
        <f>'Scenario Analysis'!B22</f>
        <v>1099.8988000000002</v>
      </c>
      <c r="C48" s="64">
        <f>'Scenario Analysis'!C22</f>
        <v>1666.1210925</v>
      </c>
      <c r="D48" s="64">
        <f>'Scenario Analysis'!D22</f>
        <v>2286.9703115000002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8FB1-D490-4208-9AA9-36256819F01C}">
  <dimension ref="A1:F45"/>
  <sheetViews>
    <sheetView tabSelected="1" topLeftCell="A19" workbookViewId="0">
      <selection activeCell="B32" sqref="B32"/>
    </sheetView>
  </sheetViews>
  <sheetFormatPr defaultRowHeight="14.4"/>
  <cols>
    <col min="1" max="4" width="20.77734375" customWidth="1"/>
    <col min="5" max="6" width="9.77734375" customWidth="1"/>
  </cols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t="s">
        <v>13</v>
      </c>
      <c r="B2">
        <v>2666.8</v>
      </c>
      <c r="C2">
        <v>3462.4</v>
      </c>
      <c r="D2">
        <v>4472.3</v>
      </c>
    </row>
    <row r="3" spans="1:4">
      <c r="A3" t="s">
        <v>77</v>
      </c>
      <c r="C3" s="80">
        <v>0.29799999999999999</v>
      </c>
      <c r="D3" s="80">
        <v>0.29199999999999998</v>
      </c>
    </row>
    <row r="4" spans="1:4">
      <c r="A4" t="s">
        <v>78</v>
      </c>
      <c r="B4" s="80">
        <v>1.33</v>
      </c>
      <c r="C4" s="80">
        <v>1.26</v>
      </c>
      <c r="D4" s="80">
        <v>1.25</v>
      </c>
    </row>
    <row r="5" spans="1:4">
      <c r="A5" t="s">
        <v>79</v>
      </c>
      <c r="B5">
        <v>449</v>
      </c>
      <c r="C5">
        <v>576</v>
      </c>
      <c r="D5">
        <v>733</v>
      </c>
    </row>
    <row r="6" spans="1:4">
      <c r="A6" t="s">
        <v>30</v>
      </c>
      <c r="B6">
        <v>716</v>
      </c>
      <c r="C6">
        <v>750</v>
      </c>
      <c r="D6">
        <v>790</v>
      </c>
    </row>
    <row r="7" spans="1:4">
      <c r="A7" t="s">
        <v>80</v>
      </c>
      <c r="B7">
        <v>5174.7</v>
      </c>
      <c r="C7">
        <v>6867.5</v>
      </c>
      <c r="D7">
        <v>9771.5</v>
      </c>
    </row>
    <row r="8" spans="1:4">
      <c r="A8" t="s">
        <v>32</v>
      </c>
      <c r="C8" s="80">
        <v>0.32700000000000001</v>
      </c>
      <c r="D8" s="80">
        <v>0.42299999999999999</v>
      </c>
    </row>
    <row r="9" spans="1:4">
      <c r="A9" t="s">
        <v>81</v>
      </c>
      <c r="B9">
        <v>1.84</v>
      </c>
      <c r="C9">
        <v>1.89</v>
      </c>
      <c r="D9">
        <v>2.09</v>
      </c>
    </row>
    <row r="10" spans="1:4">
      <c r="A10" t="s">
        <v>24</v>
      </c>
      <c r="B10">
        <v>778.9</v>
      </c>
      <c r="C10">
        <v>884.1</v>
      </c>
      <c r="D10">
        <v>1120.3</v>
      </c>
    </row>
    <row r="11" spans="1:4">
      <c r="A11" t="s">
        <v>76</v>
      </c>
      <c r="B11" s="80">
        <v>0.27800000000000002</v>
      </c>
      <c r="C11" s="80">
        <v>0.24399999999999999</v>
      </c>
      <c r="D11" s="80">
        <v>0.23899999999999999</v>
      </c>
    </row>
    <row r="16" spans="1:4">
      <c r="A16" t="s">
        <v>8</v>
      </c>
      <c r="B16" t="s">
        <v>56</v>
      </c>
      <c r="C16" t="s">
        <v>57</v>
      </c>
      <c r="D16" t="s">
        <v>58</v>
      </c>
    </row>
    <row r="17" spans="1:4">
      <c r="A17" t="s">
        <v>77</v>
      </c>
      <c r="B17" s="80">
        <v>0.18</v>
      </c>
      <c r="C17" s="80">
        <v>0.25</v>
      </c>
      <c r="D17" s="80">
        <v>0.3</v>
      </c>
    </row>
    <row r="18" spans="1:4">
      <c r="A18" t="s">
        <v>83</v>
      </c>
      <c r="B18" s="80">
        <v>0.05</v>
      </c>
      <c r="C18" s="80">
        <v>0.1</v>
      </c>
      <c r="D18" s="80">
        <v>0.12</v>
      </c>
    </row>
    <row r="19" spans="1:4">
      <c r="A19" t="s">
        <v>84</v>
      </c>
      <c r="B19" s="80">
        <v>0.73</v>
      </c>
      <c r="C19" s="80">
        <v>0.75</v>
      </c>
      <c r="D19" s="80">
        <v>0.76</v>
      </c>
    </row>
    <row r="20" spans="1:4">
      <c r="A20" t="s">
        <v>85</v>
      </c>
      <c r="B20" s="80">
        <v>-0.1</v>
      </c>
      <c r="C20" s="80">
        <v>-0.1</v>
      </c>
      <c r="D20" s="80">
        <v>-0.05</v>
      </c>
    </row>
    <row r="21" spans="1:4">
      <c r="A21" t="s">
        <v>86</v>
      </c>
      <c r="B21" s="80">
        <v>0.35</v>
      </c>
      <c r="C21" s="80">
        <v>0.33</v>
      </c>
      <c r="D21" s="80">
        <v>0.31</v>
      </c>
    </row>
    <row r="22" spans="1:4">
      <c r="A22" t="s">
        <v>87</v>
      </c>
      <c r="B22" s="80">
        <v>0.21</v>
      </c>
      <c r="C22" s="80">
        <v>0.19</v>
      </c>
      <c r="D22" s="80">
        <v>0.18</v>
      </c>
    </row>
    <row r="23" spans="1:4">
      <c r="A23" t="s">
        <v>88</v>
      </c>
      <c r="B23" s="80">
        <v>6.5000000000000002E-2</v>
      </c>
      <c r="C23" s="80">
        <v>5.8000000000000003E-2</v>
      </c>
      <c r="D23" s="80">
        <v>5.5E-2</v>
      </c>
    </row>
    <row r="24" spans="1:4">
      <c r="A24" t="s">
        <v>76</v>
      </c>
      <c r="B24" s="80">
        <v>0.2</v>
      </c>
      <c r="C24" s="80">
        <v>0.23</v>
      </c>
      <c r="D24" s="80">
        <v>0.25</v>
      </c>
    </row>
    <row r="25" spans="1:4">
      <c r="A25" t="s">
        <v>41</v>
      </c>
      <c r="B25">
        <v>5499</v>
      </c>
      <c r="C25">
        <v>7244</v>
      </c>
      <c r="D25">
        <v>9148</v>
      </c>
    </row>
    <row r="26" spans="1:4">
      <c r="A26" t="s">
        <v>66</v>
      </c>
      <c r="B26" s="80">
        <v>0.69599999999999995</v>
      </c>
      <c r="C26" s="80">
        <v>0.72</v>
      </c>
      <c r="D26" s="80">
        <v>0.73499999999999999</v>
      </c>
    </row>
    <row r="27" spans="1:4">
      <c r="A27" t="s">
        <v>64</v>
      </c>
      <c r="B27">
        <v>393</v>
      </c>
      <c r="C27">
        <v>1028</v>
      </c>
      <c r="D27">
        <v>1739</v>
      </c>
    </row>
    <row r="28" spans="1:4">
      <c r="A28" t="s">
        <v>67</v>
      </c>
      <c r="B28" s="80">
        <v>7.0999999999999994E-2</v>
      </c>
      <c r="C28" s="80">
        <v>0.14199999999999999</v>
      </c>
      <c r="D28" s="80">
        <v>0.19</v>
      </c>
    </row>
    <row r="29" spans="1:4">
      <c r="A29" t="s">
        <v>24</v>
      </c>
      <c r="B29">
        <v>1100</v>
      </c>
      <c r="C29">
        <v>1666</v>
      </c>
      <c r="D29">
        <v>2287</v>
      </c>
    </row>
    <row r="35" spans="1:6">
      <c r="A35" t="s">
        <v>8</v>
      </c>
      <c r="B35" t="s">
        <v>11</v>
      </c>
      <c r="C35" t="s">
        <v>37</v>
      </c>
      <c r="D35" t="s">
        <v>38</v>
      </c>
      <c r="E35" t="s">
        <v>39</v>
      </c>
      <c r="F35" t="s">
        <v>40</v>
      </c>
    </row>
    <row r="36" spans="1:6">
      <c r="A36" t="s">
        <v>13</v>
      </c>
      <c r="B36">
        <v>4472.3</v>
      </c>
      <c r="C36">
        <v>5590.4</v>
      </c>
      <c r="D36">
        <v>6820.3</v>
      </c>
      <c r="E36">
        <v>8184.3</v>
      </c>
      <c r="F36">
        <v>9657.5</v>
      </c>
    </row>
    <row r="37" spans="1:6">
      <c r="A37" t="s">
        <v>75</v>
      </c>
      <c r="B37">
        <v>211.6</v>
      </c>
      <c r="C37">
        <v>232.8</v>
      </c>
      <c r="D37">
        <v>251.4</v>
      </c>
      <c r="E37">
        <v>266.5</v>
      </c>
      <c r="F37">
        <v>279.8</v>
      </c>
    </row>
    <row r="38" spans="1:6">
      <c r="A38" t="s">
        <v>41</v>
      </c>
      <c r="B38">
        <v>4683.8999999999996</v>
      </c>
      <c r="C38">
        <v>5823.1</v>
      </c>
      <c r="D38">
        <v>7071.6</v>
      </c>
      <c r="E38">
        <v>8450.7999999999993</v>
      </c>
      <c r="F38">
        <v>9937.2999999999993</v>
      </c>
    </row>
    <row r="39" spans="1:6">
      <c r="A39" t="s">
        <v>26</v>
      </c>
      <c r="C39" s="80">
        <v>0.25</v>
      </c>
      <c r="D39" s="80">
        <v>0.22</v>
      </c>
      <c r="E39" s="80">
        <v>0.2</v>
      </c>
      <c r="F39" s="80">
        <v>0.18</v>
      </c>
    </row>
    <row r="40" spans="1:6">
      <c r="A40" t="s">
        <v>45</v>
      </c>
      <c r="B40">
        <v>3220.1</v>
      </c>
      <c r="C40">
        <v>4192.8</v>
      </c>
      <c r="D40">
        <v>5183.3999999999996</v>
      </c>
      <c r="E40">
        <v>6301.9</v>
      </c>
      <c r="F40">
        <v>7532.8</v>
      </c>
    </row>
    <row r="41" spans="1:6">
      <c r="A41" t="s">
        <v>44</v>
      </c>
      <c r="B41" s="80">
        <v>0.72</v>
      </c>
      <c r="C41" s="80">
        <v>0.75</v>
      </c>
      <c r="D41" s="80">
        <v>0.76</v>
      </c>
      <c r="E41" s="80">
        <v>0.77</v>
      </c>
      <c r="F41" s="80">
        <v>0.78</v>
      </c>
    </row>
    <row r="42" spans="1:6">
      <c r="A42" t="s">
        <v>64</v>
      </c>
      <c r="B42">
        <v>-1435.2</v>
      </c>
      <c r="C42">
        <v>803.7</v>
      </c>
      <c r="D42">
        <v>1210.7</v>
      </c>
      <c r="E42">
        <v>1713.1</v>
      </c>
      <c r="F42">
        <v>2315.8000000000002</v>
      </c>
    </row>
    <row r="43" spans="1:6">
      <c r="A43" t="s">
        <v>67</v>
      </c>
      <c r="B43" s="80">
        <v>-0.30599999999999999</v>
      </c>
      <c r="C43" s="80">
        <v>0.13800000000000001</v>
      </c>
      <c r="D43" s="80">
        <v>0.17100000000000001</v>
      </c>
      <c r="E43" s="80">
        <v>0.20300000000000001</v>
      </c>
      <c r="F43" s="80">
        <v>0.23300000000000001</v>
      </c>
    </row>
    <row r="44" spans="1:6">
      <c r="A44" t="s">
        <v>24</v>
      </c>
      <c r="B44">
        <v>1120.3</v>
      </c>
      <c r="C44">
        <v>1339.3</v>
      </c>
      <c r="D44">
        <v>1767.9</v>
      </c>
      <c r="E44">
        <v>2281.6999999999998</v>
      </c>
      <c r="F44">
        <v>2881.8</v>
      </c>
    </row>
    <row r="45" spans="1:6">
      <c r="A45" t="s">
        <v>76</v>
      </c>
      <c r="B45" s="80">
        <v>0.23899999999999999</v>
      </c>
      <c r="C45" s="80">
        <v>0.23</v>
      </c>
      <c r="D45" s="80">
        <v>0.25</v>
      </c>
      <c r="E45" s="80">
        <v>0.27</v>
      </c>
      <c r="F45" s="80">
        <v>0.28999999999999998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Historical Financials</vt:lpstr>
      <vt:lpstr>Saas Metrics</vt:lpstr>
      <vt:lpstr>Revenue Build</vt:lpstr>
      <vt:lpstr>Operating Model</vt:lpstr>
      <vt:lpstr>Scenario Analysis</vt:lpstr>
      <vt:lpstr>KPI Summary</vt:lpstr>
      <vt:lpstr>Dashboard</vt:lpstr>
      <vt:lpstr>Power Bi Dashboards1</vt:lpstr>
      <vt:lpstr>PowerBi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berhe</dc:creator>
  <cp:lastModifiedBy>hilal berhe</cp:lastModifiedBy>
  <dcterms:created xsi:type="dcterms:W3CDTF">2026-07-03T13:30:02Z</dcterms:created>
  <dcterms:modified xsi:type="dcterms:W3CDTF">2026-07-14T15:50:35Z</dcterms:modified>
</cp:coreProperties>
</file>